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8040"/>
  </bookViews>
  <sheets>
    <sheet name="jatikalenfix" sheetId="1" r:id="rId1"/>
  </sheets>
  <externalReferences>
    <externalReference r:id="rId2"/>
    <externalReference r:id="rId3"/>
  </externalReferences>
  <definedNames>
    <definedName name="_100Excel_BuiltIn_Print_Titles_14_14_1">#REF!</definedName>
    <definedName name="_102Excel_BuiltIn_Print_Titles_14_15_1">#REF!</definedName>
    <definedName name="_104Excel_BuiltIn_Print_Titles_15_1_1">#REF!</definedName>
    <definedName name="_106Excel_BuiltIn_Print_Titles_15_14_1">#REF!</definedName>
    <definedName name="_108Excel_BuiltIn_Print_Titles_15_15_1">#REF!</definedName>
    <definedName name="_10bulanan_1_1">#REF!</definedName>
    <definedName name="_10Excel_BuiltIn_Print_Area_11_1_1">#REF!</definedName>
    <definedName name="_110Excel_BuiltIn_Print_Titles_16_1_1">#REF!</definedName>
    <definedName name="_112Excel_BuiltIn_Print_Titles_16_14_1">#REF!</definedName>
    <definedName name="_114Excel_BuiltIn_Print_Titles_16_15_1">#REF!</definedName>
    <definedName name="_116Excel_BuiltIn_Print_Titles_2_1_1">#REF!</definedName>
    <definedName name="_118Excel_BuiltIn_Print_Titles_2_14_1">#REF!</definedName>
    <definedName name="_11Excel_BuiltIn_Print_Area_11_14_1">#REF!</definedName>
    <definedName name="_120Excel_BuiltIn_Print_Titles_2_15_1">#REF!</definedName>
    <definedName name="_122Excel_BuiltIn_Print_Titles_3_1_1">#REF!</definedName>
    <definedName name="_124Excel_BuiltIn_Print_Titles_3_14_1">#REF!</definedName>
    <definedName name="_126Excel_BuiltIn_Print_Titles_3_15_1">#REF!</definedName>
    <definedName name="_128Excel_BuiltIn_Print_Titles_4_1_1">#REF!</definedName>
    <definedName name="_12bulanan_14_1">#REF!</definedName>
    <definedName name="_12Excel_BuiltIn_Print_Area_11_15_1">#REF!</definedName>
    <definedName name="_130Excel_BuiltIn_Print_Titles_4_14_1">#REF!</definedName>
    <definedName name="_132Excel_BuiltIn_Print_Titles_4_15_1">#REF!</definedName>
    <definedName name="_134Excel_BuiltIn_Print_Titles_5_1_1">#REF!</definedName>
    <definedName name="_136Excel_BuiltIn_Print_Titles_5_14_1">#REF!</definedName>
    <definedName name="_138Excel_BuiltIn_Print_Titles_5_15_1">#REF!</definedName>
    <definedName name="_13Excel_BuiltIn_Print_Area_12_1_1">#REF!</definedName>
    <definedName name="_140Excel_BuiltIn_Print_Titles_6_1_1">#REF!</definedName>
    <definedName name="_142Excel_BuiltIn_Print_Titles_6_14_1">#REF!</definedName>
    <definedName name="_144Excel_BuiltIn_Print_Titles_6_15_1">#REF!</definedName>
    <definedName name="_146Excel_BuiltIn_Print_Titles_7_1_1">#REF!</definedName>
    <definedName name="_148Excel_BuiltIn_Print_Titles_7_14_1">#REF!</definedName>
    <definedName name="_14bulanan_15_1">#REF!</definedName>
    <definedName name="_14Excel_BuiltIn_Print_Area_12_14_1">#REF!</definedName>
    <definedName name="_150Excel_BuiltIn_Print_Titles_7_15_1">#REF!</definedName>
    <definedName name="_152iit_1_1">#REF!</definedName>
    <definedName name="_154iit_14_1">#REF!</definedName>
    <definedName name="_156iit_15_1">#REF!</definedName>
    <definedName name="_158ina_1_1">#REF!</definedName>
    <definedName name="_15cc_1_1">[1]Sheet1!$A$1:$B$7</definedName>
    <definedName name="_15Excel_BuiltIn_Print_Area_12_15_1">#REF!</definedName>
    <definedName name="_160kUA_1_1">#REF!</definedName>
    <definedName name="_16Excel_BuiltIn_Print_Area_13_1_1">#REF!</definedName>
    <definedName name="_17erny_1_1">#REF!</definedName>
    <definedName name="_17Excel_BuiltIn_Print_Area_13_14_1">#REF!</definedName>
    <definedName name="_18Excel_BuiltIn_Print_Area_13_15_1">#REF!</definedName>
    <definedName name="_19Excel_BuiltIn_Print_Area_11_1_1">#REF!</definedName>
    <definedName name="_19Excel_BuiltIn_Print_Area_14_1_1">#REF!</definedName>
    <definedName name="_1a_1_1">#REF!</definedName>
    <definedName name="_20Excel_BuiltIn_Print_Area_14_14_1">#REF!</definedName>
    <definedName name="_21Excel_BuiltIn_Print_Area_11_14_1">#REF!</definedName>
    <definedName name="_21Excel_BuiltIn_Print_Area_14_15_1">#REF!</definedName>
    <definedName name="_22Excel_BuiltIn_Print_Area_15_1_1">#REF!</definedName>
    <definedName name="_23Excel_BuiltIn_Print_Area_11_15_1">#REF!</definedName>
    <definedName name="_23Excel_BuiltIn_Print_Area_15_14_1">#REF!</definedName>
    <definedName name="_24Excel_BuiltIn_Print_Area_15_15_1">#REF!</definedName>
    <definedName name="_25Excel_BuiltIn_Print_Area_12_1_1">#REF!</definedName>
    <definedName name="_25Excel_BuiltIn_Print_Area_16_1_1">#REF!</definedName>
    <definedName name="_26Excel_BuiltIn_Print_Area_16_14_1">#REF!</definedName>
    <definedName name="_27Excel_BuiltIn_Print_Area_12_14_1">#REF!</definedName>
    <definedName name="_27Excel_BuiltIn_Print_Area_16_15_1">#REF!</definedName>
    <definedName name="_28Excel_BuiltIn_Print_Area_17_1_1">#REF!</definedName>
    <definedName name="_29Excel_BuiltIn_Print_Area_12_15_1">#REF!</definedName>
    <definedName name="_29Excel_BuiltIn_Print_Area_17_14_1">#REF!</definedName>
    <definedName name="_2a_1_1">#REF!</definedName>
    <definedName name="_2aaaaaaaaaaaaaa_1_1">#REF!</definedName>
    <definedName name="_30Excel_BuiltIn_Print_Area_17_15_1">#REF!</definedName>
    <definedName name="_31Excel_BuiltIn_Print_Area_13_1_1">#REF!</definedName>
    <definedName name="_31Excel_BuiltIn_Print_Area_6_1_1">#REF!</definedName>
    <definedName name="_32Excel_BuiltIn_Print_Area_6_14_1">#REF!</definedName>
    <definedName name="_33Excel_BuiltIn_Print_Area_13_14_1">#REF!</definedName>
    <definedName name="_33Excel_BuiltIn_Print_Area_6_15_1">#REF!</definedName>
    <definedName name="_34Excel_BuiltIn_Print_Area_7_1_1">#REF!</definedName>
    <definedName name="_35Excel_BuiltIn_Print_Area_13_15_1">#REF!</definedName>
    <definedName name="_35Excel_BuiltIn_Print_Area_7_14_1">#REF!</definedName>
    <definedName name="_36Excel_BuiltIn_Print_Area_7_15_1">#REF!</definedName>
    <definedName name="_37Excel_BuiltIn_Print_Area_14_1_1">#REF!</definedName>
    <definedName name="_37Excel_BuiltIn_Print_Titles_1_1">#N/A</definedName>
    <definedName name="_38Excel_BuiltIn_Print_Titles_1_1_1">#REF!</definedName>
    <definedName name="_39Excel_BuiltIn_Print_Area_14_14_1">#REF!</definedName>
    <definedName name="_39Excel_BuiltIn_Print_Titles_1_14_1">#REF!</definedName>
    <definedName name="_3aaaaaaaaaaaaaa_14_1">#REF!</definedName>
    <definedName name="_40Excel_BuiltIn_Print_Titles_1_15_1">#REF!</definedName>
    <definedName name="_41Excel_BuiltIn_Print_Area_14_15_1">#REF!</definedName>
    <definedName name="_41Excel_BuiltIn_Print_Titles_11_1_1">(#REF!,#REF!)</definedName>
    <definedName name="_42Excel_BuiltIn_Print_Titles_11_14_1">(#REF!,#REF!)</definedName>
    <definedName name="_43Excel_BuiltIn_Print_Area_15_1_1">#REF!</definedName>
    <definedName name="_43Excel_BuiltIn_Print_Titles_11_15_1">(#REF!,#REF!)</definedName>
    <definedName name="_44Excel_BuiltIn_Print_Titles_12_1_1">#REF!</definedName>
    <definedName name="_45Excel_BuiltIn_Print_Area_15_14_1">#REF!</definedName>
    <definedName name="_45Excel_BuiltIn_Print_Titles_12_14_1">#REF!</definedName>
    <definedName name="_46Excel_BuiltIn_Print_Titles_12_15_1">#REF!</definedName>
    <definedName name="_47Excel_BuiltIn_Print_Area_15_15_1">#REF!</definedName>
    <definedName name="_47Excel_BuiltIn_Print_Titles_13_1_1">#REF!</definedName>
    <definedName name="_48Excel_BuiltIn_Print_Titles_13_14_1">#REF!</definedName>
    <definedName name="_49Excel_BuiltIn_Print_Area_16_1_1">#REF!</definedName>
    <definedName name="_49Excel_BuiltIn_Print_Titles_13_15_1">#REF!</definedName>
    <definedName name="_4aaaaaaaaaaaaaa_1_1">#REF!</definedName>
    <definedName name="_4aaaaaaaaaaaaaa_15_1">#REF!</definedName>
    <definedName name="_50Excel_BuiltIn_Print_Titles_14_1_1">#REF!</definedName>
    <definedName name="_51Excel_BuiltIn_Print_Area_16_14_1">#REF!</definedName>
    <definedName name="_51Excel_BuiltIn_Print_Titles_14_14_1">#REF!</definedName>
    <definedName name="_52Excel_BuiltIn_Print_Titles_14_15_1">#REF!</definedName>
    <definedName name="_53Excel_BuiltIn_Print_Area_16_15_1">#REF!</definedName>
    <definedName name="_53Excel_BuiltIn_Print_Titles_15_1_1">#REF!</definedName>
    <definedName name="_54Excel_BuiltIn_Print_Titles_15_14_1">#REF!</definedName>
    <definedName name="_55Excel_BuiltIn_Print_Area_17_1_1">#REF!</definedName>
    <definedName name="_55Excel_BuiltIn_Print_Titles_15_15_1">#REF!</definedName>
    <definedName name="_56Excel_BuiltIn_Print_Titles_16_1_1">#REF!</definedName>
    <definedName name="_57Excel_BuiltIn_Print_Area_17_14_1">#REF!</definedName>
    <definedName name="_57Excel_BuiltIn_Print_Titles_16_14_1">#REF!</definedName>
    <definedName name="_58Excel_BuiltIn_Print_Titles_16_15_1">#REF!</definedName>
    <definedName name="_59Excel_BuiltIn_Print_Area_17_15_1">#REF!</definedName>
    <definedName name="_59Excel_BuiltIn_Print_Titles_2_1_1">#REF!</definedName>
    <definedName name="_5bulanan_1_1">#REF!</definedName>
    <definedName name="_60Excel_BuiltIn_Print_Titles_2_14_1">#REF!</definedName>
    <definedName name="_61Excel_BuiltIn_Print_Area_6_1_1">#REF!</definedName>
    <definedName name="_61Excel_BuiltIn_Print_Titles_2_15_1">#REF!</definedName>
    <definedName name="_62Excel_BuiltIn_Print_Titles_3_1_1">#REF!</definedName>
    <definedName name="_63Excel_BuiltIn_Print_Area_6_14_1">#REF!</definedName>
    <definedName name="_63Excel_BuiltIn_Print_Titles_3_14_1">#REF!</definedName>
    <definedName name="_64Excel_BuiltIn_Print_Titles_3_15_1">#REF!</definedName>
    <definedName name="_65Excel_BuiltIn_Print_Area_6_15_1">#REF!</definedName>
    <definedName name="_65Excel_BuiltIn_Print_Titles_4_1_1">#REF!</definedName>
    <definedName name="_66Excel_BuiltIn_Print_Titles_4_14_1">#REF!</definedName>
    <definedName name="_67Excel_BuiltIn_Print_Area_7_1_1">#REF!</definedName>
    <definedName name="_67Excel_BuiltIn_Print_Titles_4_15_1">#REF!</definedName>
    <definedName name="_68Excel_BuiltIn_Print_Titles_5_1_1">#REF!</definedName>
    <definedName name="_69Excel_BuiltIn_Print_Area_7_14_1">#REF!</definedName>
    <definedName name="_69Excel_BuiltIn_Print_Titles_5_14_1">#REF!</definedName>
    <definedName name="_6aaaaaaaaaaaaaa_14_1">#REF!</definedName>
    <definedName name="_6bulanan_14_1">#REF!</definedName>
    <definedName name="_70Excel_BuiltIn_Print_Titles_5_15_1">#REF!</definedName>
    <definedName name="_71Excel_BuiltIn_Print_Area_7_15_1">#REF!</definedName>
    <definedName name="_71Excel_BuiltIn_Print_Titles_6_1_1">#REF!</definedName>
    <definedName name="_72Excel_BuiltIn_Print_Titles_1_1">#N/A</definedName>
    <definedName name="_72Excel_BuiltIn_Print_Titles_6_14_1">#REF!</definedName>
    <definedName name="_73Excel_BuiltIn_Print_Titles_6_15_1">#REF!</definedName>
    <definedName name="_74Excel_BuiltIn_Print_Titles_1_1_1">#REF!</definedName>
    <definedName name="_74Excel_BuiltIn_Print_Titles_7_1_1">#REF!</definedName>
    <definedName name="_75Excel_BuiltIn_Print_Titles_7_14_1">#REF!</definedName>
    <definedName name="_76Excel_BuiltIn_Print_Titles_1_14_1">#REF!</definedName>
    <definedName name="_76Excel_BuiltIn_Print_Titles_7_15_1">#REF!</definedName>
    <definedName name="_77iit_1_1">#REF!</definedName>
    <definedName name="_78Excel_BuiltIn_Print_Titles_1_15_1">#REF!</definedName>
    <definedName name="_78iit_14_1">#REF!</definedName>
    <definedName name="_79iit_15_1">#REF!</definedName>
    <definedName name="_7bulanan_15_1">#REF!</definedName>
    <definedName name="_80Excel_BuiltIn_Print_Titles_11_1_1">(#REF!,#REF!)</definedName>
    <definedName name="_80ina_1_1">#REF!</definedName>
    <definedName name="_81kUA_1_1">#REF!</definedName>
    <definedName name="_82Excel_BuiltIn_Print_Titles_11_14_1">(#REF!,#REF!)</definedName>
    <definedName name="_84Excel_BuiltIn_Print_Titles_11_15_1">(#REF!,#REF!)</definedName>
    <definedName name="_86Excel_BuiltIn_Print_Titles_12_1_1">#REF!</definedName>
    <definedName name="_88Excel_BuiltIn_Print_Titles_12_14_1">#REF!</definedName>
    <definedName name="_8aaaaaaaaaaaaaa_15_1">#REF!</definedName>
    <definedName name="_8cc_1_1">[1]Sheet1!$A$1:$B$7</definedName>
    <definedName name="_90Excel_BuiltIn_Print_Titles_12_15_1">#REF!</definedName>
    <definedName name="_92Excel_BuiltIn_Print_Titles_13_1_1">#REF!</definedName>
    <definedName name="_94Excel_BuiltIn_Print_Titles_13_14_1">#REF!</definedName>
    <definedName name="_96Excel_BuiltIn_Print_Titles_13_15_1">#REF!</definedName>
    <definedName name="_98Excel_BuiltIn_Print_Titles_14_1_1">#REF!</definedName>
    <definedName name="_9erny_1_1">#REF!</definedName>
    <definedName name="_Q">#N/A</definedName>
    <definedName name="_Q_1">#N/A</definedName>
    <definedName name="_Z">#N/A</definedName>
    <definedName name="_Z_1">#N/A</definedName>
    <definedName name="a">#REF!</definedName>
    <definedName name="A_1">#N/A</definedName>
    <definedName name="a_1_1">#N/A</definedName>
    <definedName name="a_13">#REF!</definedName>
    <definedName name="a_13_1">#N/A</definedName>
    <definedName name="A_14">#REF!</definedName>
    <definedName name="A_14_1">#N/A</definedName>
    <definedName name="A_15">#REF!</definedName>
    <definedName name="A_15_1">#N/A</definedName>
    <definedName name="A_18">#REF!</definedName>
    <definedName name="A_2">#REF!</definedName>
    <definedName name="A_2_1">#N/A</definedName>
    <definedName name="A_20">#REF!</definedName>
    <definedName name="A_5">#REF!</definedName>
    <definedName name="A_5_1">#N/A</definedName>
    <definedName name="A_6">#REF!</definedName>
    <definedName name="A_6_1">#N/A</definedName>
    <definedName name="a_8">#REF!</definedName>
    <definedName name="a_8_1">#N/A</definedName>
    <definedName name="A_9">#REF!</definedName>
    <definedName name="A_9_1">#N/A</definedName>
    <definedName name="aaaa">#REF!</definedName>
    <definedName name="aaaa_1">#N/A</definedName>
    <definedName name="aaaa_14">#REF!</definedName>
    <definedName name="aaaa_14_1">#N/A</definedName>
    <definedName name="aaaa_15">#REF!</definedName>
    <definedName name="aaaa_15_1">#N/A</definedName>
    <definedName name="aaaa_18">#REF!</definedName>
    <definedName name="aaaa_2">#REF!</definedName>
    <definedName name="aaaa_2_1">#N/A</definedName>
    <definedName name="aaaa_20">#REF!</definedName>
    <definedName name="aaaa_5">#REF!</definedName>
    <definedName name="aaaa_5_1">#N/A</definedName>
    <definedName name="aaaa_6">#REF!</definedName>
    <definedName name="aaaa_6_1">#N/A</definedName>
    <definedName name="aaaa_9">#REF!</definedName>
    <definedName name="aaaa_9_1">#N/A</definedName>
    <definedName name="aaaaaaaa">#REF!</definedName>
    <definedName name="aaaaaaaaaaaaaa">#REF!</definedName>
    <definedName name="aaaaaaaaaaaaaa_1">#N/A</definedName>
    <definedName name="aaaaaaaaaaaaaa_1_1">#N/A</definedName>
    <definedName name="aaaaaaaaaaaaaa_12">#REF!</definedName>
    <definedName name="aaaaaaaaaaaaaa_13">#REF!</definedName>
    <definedName name="aaaaaaaaaaaaaa_13_1">#N/A</definedName>
    <definedName name="aaaaaaaaaaaaaa_14">#REF!</definedName>
    <definedName name="aaaaaaaaaaaaaa_14_1">#N/A</definedName>
    <definedName name="aaaaaaaaaaaaaa_15">#REF!</definedName>
    <definedName name="aaaaaaaaaaaaaa_15_1">#N/A</definedName>
    <definedName name="aaaaaaaaaaaaaa_2">#REF!</definedName>
    <definedName name="aaaaaaaaaaaaaa_2_1">#N/A</definedName>
    <definedName name="aaaaaaaaaaaaaa_5">#REF!</definedName>
    <definedName name="aaaaaaaaaaaaaa_5_1">#N/A</definedName>
    <definedName name="aaaaaaaaaaaaaa_6">#REF!</definedName>
    <definedName name="aaaaaaaaaaaaaa_6_1">#N/A</definedName>
    <definedName name="aaaaaaaaaaaaaa_8">#REF!</definedName>
    <definedName name="aaaaaaaaaaaaaa_8_1">#N/A</definedName>
    <definedName name="aaaaaaaaaaaaaa_9">#REF!</definedName>
    <definedName name="aaaaaaaaaaaaaa_9_1">#N/A</definedName>
    <definedName name="angkas2017">#REF!</definedName>
    <definedName name="angkas2017777">#REF!</definedName>
    <definedName name="aq">(#REF!,#REF!)</definedName>
    <definedName name="aq_18">(#REF!,#REF!)</definedName>
    <definedName name="aq_20">(#REF!,#REF!)</definedName>
    <definedName name="as">#REF!</definedName>
    <definedName name="as_1">#N/A</definedName>
    <definedName name="as_18">#REF!</definedName>
    <definedName name="as_20">#REF!</definedName>
    <definedName name="asem">#REF!</definedName>
    <definedName name="asss">#REF!</definedName>
    <definedName name="B">#REF!</definedName>
    <definedName name="b.xls">#REF!</definedName>
    <definedName name="B_1">#N/A</definedName>
    <definedName name="B_14">#REF!</definedName>
    <definedName name="B_14_1">#N/A</definedName>
    <definedName name="B_15">#REF!</definedName>
    <definedName name="B_15_1">#N/A</definedName>
    <definedName name="B_18">#REF!</definedName>
    <definedName name="B_2">#REF!</definedName>
    <definedName name="B_2_1">#N/A</definedName>
    <definedName name="B_20">#REF!</definedName>
    <definedName name="B_6">#REF!</definedName>
    <definedName name="B_6_1">#N/A</definedName>
    <definedName name="B_9">#REF!</definedName>
    <definedName name="B_9_1">#N/A</definedName>
    <definedName name="bappeda">#REF!</definedName>
    <definedName name="bappeda_1">#N/A</definedName>
    <definedName name="bappeda_15">#REF!</definedName>
    <definedName name="berbek">#REF!</definedName>
    <definedName name="BTdkLangsungSekda">#REF!</definedName>
    <definedName name="bulanan">#REF!</definedName>
    <definedName name="bulanan_1">#N/A</definedName>
    <definedName name="bulanan_1_1">#N/A</definedName>
    <definedName name="bulanan_12">#REF!</definedName>
    <definedName name="bulanan_13">#REF!</definedName>
    <definedName name="bulanan_13_1">#N/A</definedName>
    <definedName name="bulanan_14">#REF!</definedName>
    <definedName name="bulanan_14_1">#N/A</definedName>
    <definedName name="bulanan_15">#REF!</definedName>
    <definedName name="bulanan_15_1">#N/A</definedName>
    <definedName name="bulanan_2">#REF!</definedName>
    <definedName name="bulanan_2_1">#N/A</definedName>
    <definedName name="bulanan_5">#REF!</definedName>
    <definedName name="bulanan_5_1">#N/A</definedName>
    <definedName name="bulanan_6">#REF!</definedName>
    <definedName name="bulanan_6_1">#N/A</definedName>
    <definedName name="bulanan_8">#REF!</definedName>
    <definedName name="bulanan_8_1">#N/A</definedName>
    <definedName name="bulanan_9">#REF!</definedName>
    <definedName name="bulanan_9_1">#N/A</definedName>
    <definedName name="cc">[2]Sheet1!$A$1:$B$7</definedName>
    <definedName name="cc_1">#N/A</definedName>
    <definedName name="cc_13">[1]Sheet1!$A$1:$B$7</definedName>
    <definedName name="cc_14">[1]Sheet1!$A$1:$B$7</definedName>
    <definedName name="cc_15">[1]Sheet1!$A$1:$B$7</definedName>
    <definedName name="cc_2">[1]Sheet1!$A$1:$B$7</definedName>
    <definedName name="cc_5">[1]Sheet1!$A$1:$B$7</definedName>
    <definedName name="d">#REF!</definedName>
    <definedName name="data">#N/A</definedName>
    <definedName name="DINSOSNAKERTRAN">#REF!</definedName>
    <definedName name="DINSOSNAKERTRAN_1">#N/A</definedName>
    <definedName name="DINSOSNAKERTRAN_14">#REF!</definedName>
    <definedName name="DINSOSNAKERTRAN_14_1">#N/A</definedName>
    <definedName name="DINSOSNAKERTRAN_15">#REF!</definedName>
    <definedName name="DINSOSNAKERTRAN_15_1">#N/A</definedName>
    <definedName name="DINSOSNAKERTRAN_18">#REF!</definedName>
    <definedName name="DINSOSNAKERTRAN_2">#REF!</definedName>
    <definedName name="DINSOSNAKERTRAN_2_1">#N/A</definedName>
    <definedName name="DINSOSNAKERTRAN_20">#REF!</definedName>
    <definedName name="DINSOSNAKERTRAN_5">#REF!</definedName>
    <definedName name="DINSOSNAKERTRAN_5_1">#N/A</definedName>
    <definedName name="DINSOSNAKERTRAN_6">#REF!</definedName>
    <definedName name="DINSOSNAKERTRAN_6_1">#N/A</definedName>
    <definedName name="DINSOSNAKERTRAN_9">#REF!</definedName>
    <definedName name="DINSOSNAKERTRAN_9_1">#N/A</definedName>
    <definedName name="DISBUD">#REF!</definedName>
    <definedName name="DISBUD1">#REF!</definedName>
    <definedName name="ekbang">#REF!</definedName>
    <definedName name="erny">#REF!</definedName>
    <definedName name="erny_1">#N/A</definedName>
    <definedName name="erny_1_1">#N/A</definedName>
    <definedName name="erny_12">#REF!</definedName>
    <definedName name="erny_14">#REF!</definedName>
    <definedName name="erny_14_1">#N/A</definedName>
    <definedName name="erny_15">#REF!</definedName>
    <definedName name="erny_15_1">#N/A</definedName>
    <definedName name="erny_2">#REF!</definedName>
    <definedName name="erny_2_1">#N/A</definedName>
    <definedName name="erny_5">#REF!</definedName>
    <definedName name="erny_5_1">#N/A</definedName>
    <definedName name="erny_6">#REF!</definedName>
    <definedName name="erny_6_1">#N/A</definedName>
    <definedName name="erny_8">#REF!</definedName>
    <definedName name="erny_8_1">#N/A</definedName>
    <definedName name="erny_9">#REF!</definedName>
    <definedName name="erny_9_1">#N/A</definedName>
    <definedName name="Excel_BuiltIn_Print_Area_1">#N/A</definedName>
    <definedName name="Excel_BuiltIn_Print_Area_11">#REF!</definedName>
    <definedName name="Excel_BuiltIn_Print_Area_11_1">#N/A</definedName>
    <definedName name="Excel_BuiltIn_Print_Area_11_1_1">#N/A</definedName>
    <definedName name="Excel_BuiltIn_Print_Area_11_12">#REF!</definedName>
    <definedName name="Excel_BuiltIn_Print_Area_11_13">#REF!</definedName>
    <definedName name="Excel_BuiltIn_Print_Area_11_13_1">#N/A</definedName>
    <definedName name="Excel_BuiltIn_Print_Area_11_14">#REF!</definedName>
    <definedName name="Excel_BuiltIn_Print_Area_11_14_1">#N/A</definedName>
    <definedName name="Excel_BuiltIn_Print_Area_11_15">#REF!</definedName>
    <definedName name="Excel_BuiltIn_Print_Area_11_15_1">#N/A</definedName>
    <definedName name="Excel_BuiltIn_Print_Area_11_2">#REF!</definedName>
    <definedName name="Excel_BuiltIn_Print_Area_11_2_1">#N/A</definedName>
    <definedName name="Excel_BuiltIn_Print_Area_11_5">#REF!</definedName>
    <definedName name="Excel_BuiltIn_Print_Area_11_5_1">#N/A</definedName>
    <definedName name="Excel_BuiltIn_Print_Area_11_6">#REF!</definedName>
    <definedName name="Excel_BuiltIn_Print_Area_11_6_1">#N/A</definedName>
    <definedName name="Excel_BuiltIn_Print_Area_11_8">#REF!</definedName>
    <definedName name="Excel_BuiltIn_Print_Area_11_8_1">#N/A</definedName>
    <definedName name="Excel_BuiltIn_Print_Area_11_9">#REF!</definedName>
    <definedName name="Excel_BuiltIn_Print_Area_11_9_1">#N/A</definedName>
    <definedName name="Excel_BuiltIn_Print_Area_12">#REF!</definedName>
    <definedName name="Excel_BuiltIn_Print_Area_12_1">#N/A</definedName>
    <definedName name="Excel_BuiltIn_Print_Area_12_1_1">#N/A</definedName>
    <definedName name="Excel_BuiltIn_Print_Area_12_12">#REF!</definedName>
    <definedName name="Excel_BuiltIn_Print_Area_12_13">#REF!</definedName>
    <definedName name="Excel_BuiltIn_Print_Area_12_13_1">#N/A</definedName>
    <definedName name="Excel_BuiltIn_Print_Area_12_14">#REF!</definedName>
    <definedName name="Excel_BuiltIn_Print_Area_12_14_1">#N/A</definedName>
    <definedName name="Excel_BuiltIn_Print_Area_12_15">#REF!</definedName>
    <definedName name="Excel_BuiltIn_Print_Area_12_15_1">#N/A</definedName>
    <definedName name="Excel_BuiltIn_Print_Area_12_2">#REF!</definedName>
    <definedName name="Excel_BuiltIn_Print_Area_12_2_1">#N/A</definedName>
    <definedName name="Excel_BuiltIn_Print_Area_12_5">#REF!</definedName>
    <definedName name="Excel_BuiltIn_Print_Area_12_5_1">#N/A</definedName>
    <definedName name="Excel_BuiltIn_Print_Area_12_6">#REF!</definedName>
    <definedName name="Excel_BuiltIn_Print_Area_12_6_1">#N/A</definedName>
    <definedName name="Excel_BuiltIn_Print_Area_12_8">#REF!</definedName>
    <definedName name="Excel_BuiltIn_Print_Area_12_8_1">#N/A</definedName>
    <definedName name="Excel_BuiltIn_Print_Area_12_9">#REF!</definedName>
    <definedName name="Excel_BuiltIn_Print_Area_12_9_1">#N/A</definedName>
    <definedName name="Excel_BuiltIn_Print_Area_13">#REF!</definedName>
    <definedName name="Excel_BuiltIn_Print_Area_13_1">#N/A</definedName>
    <definedName name="Excel_BuiltIn_Print_Area_13_1_1">#N/A</definedName>
    <definedName name="Excel_BuiltIn_Print_Area_13_12">#REF!</definedName>
    <definedName name="Excel_BuiltIn_Print_Area_13_13">#REF!</definedName>
    <definedName name="Excel_BuiltIn_Print_Area_13_13_1">#N/A</definedName>
    <definedName name="Excel_BuiltIn_Print_Area_13_14">#REF!</definedName>
    <definedName name="Excel_BuiltIn_Print_Area_13_14_1">#N/A</definedName>
    <definedName name="Excel_BuiltIn_Print_Area_13_15">#REF!</definedName>
    <definedName name="Excel_BuiltIn_Print_Area_13_15_1">#N/A</definedName>
    <definedName name="Excel_BuiltIn_Print_Area_13_2">#REF!</definedName>
    <definedName name="Excel_BuiltIn_Print_Area_13_2_1">#N/A</definedName>
    <definedName name="Excel_BuiltIn_Print_Area_13_5">#REF!</definedName>
    <definedName name="Excel_BuiltIn_Print_Area_13_5_1">#N/A</definedName>
    <definedName name="Excel_BuiltIn_Print_Area_13_6">#REF!</definedName>
    <definedName name="Excel_BuiltIn_Print_Area_13_6_1">#N/A</definedName>
    <definedName name="Excel_BuiltIn_Print_Area_13_8">#REF!</definedName>
    <definedName name="Excel_BuiltIn_Print_Area_13_8_1">#N/A</definedName>
    <definedName name="Excel_BuiltIn_Print_Area_13_9">#REF!</definedName>
    <definedName name="Excel_BuiltIn_Print_Area_13_9_1">#N/A</definedName>
    <definedName name="Excel_BuiltIn_Print_Area_14">#REF!</definedName>
    <definedName name="Excel_BuiltIn_Print_Area_14_1">#N/A</definedName>
    <definedName name="Excel_BuiltIn_Print_Area_14_1_1">#N/A</definedName>
    <definedName name="Excel_BuiltIn_Print_Area_14_12">#REF!</definedName>
    <definedName name="Excel_BuiltIn_Print_Area_14_13">#REF!</definedName>
    <definedName name="Excel_BuiltIn_Print_Area_14_13_1">#N/A</definedName>
    <definedName name="Excel_BuiltIn_Print_Area_14_14">#REF!</definedName>
    <definedName name="Excel_BuiltIn_Print_Area_14_14_1">#N/A</definedName>
    <definedName name="Excel_BuiltIn_Print_Area_14_15">#REF!</definedName>
    <definedName name="Excel_BuiltIn_Print_Area_14_15_1">#N/A</definedName>
    <definedName name="Excel_BuiltIn_Print_Area_14_2">#REF!</definedName>
    <definedName name="Excel_BuiltIn_Print_Area_14_2_1">#N/A</definedName>
    <definedName name="Excel_BuiltIn_Print_Area_14_5">#REF!</definedName>
    <definedName name="Excel_BuiltIn_Print_Area_14_5_1">#N/A</definedName>
    <definedName name="Excel_BuiltIn_Print_Area_14_6">#REF!</definedName>
    <definedName name="Excel_BuiltIn_Print_Area_14_6_1">#N/A</definedName>
    <definedName name="Excel_BuiltIn_Print_Area_14_8">#REF!</definedName>
    <definedName name="Excel_BuiltIn_Print_Area_14_8_1">#N/A</definedName>
    <definedName name="Excel_BuiltIn_Print_Area_14_9">#REF!</definedName>
    <definedName name="Excel_BuiltIn_Print_Area_14_9_1">#N/A</definedName>
    <definedName name="Excel_BuiltIn_Print_Area_15">#REF!</definedName>
    <definedName name="Excel_BuiltIn_Print_Area_15_1">#N/A</definedName>
    <definedName name="Excel_BuiltIn_Print_Area_15_1_1">#N/A</definedName>
    <definedName name="Excel_BuiltIn_Print_Area_15_12">#REF!</definedName>
    <definedName name="Excel_BuiltIn_Print_Area_15_13">#REF!</definedName>
    <definedName name="Excel_BuiltIn_Print_Area_15_13_1">#N/A</definedName>
    <definedName name="Excel_BuiltIn_Print_Area_15_14">#REF!</definedName>
    <definedName name="Excel_BuiltIn_Print_Area_15_14_1">#N/A</definedName>
    <definedName name="Excel_BuiltIn_Print_Area_15_15">#REF!</definedName>
    <definedName name="Excel_BuiltIn_Print_Area_15_15_1">#N/A</definedName>
    <definedName name="Excel_BuiltIn_Print_Area_15_2">#REF!</definedName>
    <definedName name="Excel_BuiltIn_Print_Area_15_2_1">#N/A</definedName>
    <definedName name="Excel_BuiltIn_Print_Area_15_5">#REF!</definedName>
    <definedName name="Excel_BuiltIn_Print_Area_15_5_1">#N/A</definedName>
    <definedName name="Excel_BuiltIn_Print_Area_15_6">#REF!</definedName>
    <definedName name="Excel_BuiltIn_Print_Area_15_6_1">#N/A</definedName>
    <definedName name="Excel_BuiltIn_Print_Area_15_8">#REF!</definedName>
    <definedName name="Excel_BuiltIn_Print_Area_15_8_1">#N/A</definedName>
    <definedName name="Excel_BuiltIn_Print_Area_15_9">#REF!</definedName>
    <definedName name="Excel_BuiltIn_Print_Area_15_9_1">#N/A</definedName>
    <definedName name="Excel_BuiltIn_Print_Area_16">#REF!</definedName>
    <definedName name="Excel_BuiltIn_Print_Area_16_1">#N/A</definedName>
    <definedName name="Excel_BuiltIn_Print_Area_16_1_1">#N/A</definedName>
    <definedName name="Excel_BuiltIn_Print_Area_16_12">#REF!</definedName>
    <definedName name="Excel_BuiltIn_Print_Area_16_13">#REF!</definedName>
    <definedName name="Excel_BuiltIn_Print_Area_16_13_1">#N/A</definedName>
    <definedName name="Excel_BuiltIn_Print_Area_16_14">#REF!</definedName>
    <definedName name="Excel_BuiltIn_Print_Area_16_14_1">#N/A</definedName>
    <definedName name="Excel_BuiltIn_Print_Area_16_15">#REF!</definedName>
    <definedName name="Excel_BuiltIn_Print_Area_16_15_1">#N/A</definedName>
    <definedName name="Excel_BuiltIn_Print_Area_16_2">#REF!</definedName>
    <definedName name="Excel_BuiltIn_Print_Area_16_2_1">#N/A</definedName>
    <definedName name="Excel_BuiltIn_Print_Area_16_5">#REF!</definedName>
    <definedName name="Excel_BuiltIn_Print_Area_16_5_1">#N/A</definedName>
    <definedName name="Excel_BuiltIn_Print_Area_16_6">#REF!</definedName>
    <definedName name="Excel_BuiltIn_Print_Area_16_6_1">#N/A</definedName>
    <definedName name="Excel_BuiltIn_Print_Area_16_8">#REF!</definedName>
    <definedName name="Excel_BuiltIn_Print_Area_16_8_1">#N/A</definedName>
    <definedName name="Excel_BuiltIn_Print_Area_16_9">#REF!</definedName>
    <definedName name="Excel_BuiltIn_Print_Area_16_9_1">#N/A</definedName>
    <definedName name="Excel_BuiltIn_Print_Area_17">#REF!</definedName>
    <definedName name="Excel_BuiltIn_Print_Area_17_1">#N/A</definedName>
    <definedName name="Excel_BuiltIn_Print_Area_17_1_1">#N/A</definedName>
    <definedName name="Excel_BuiltIn_Print_Area_17_12">#REF!</definedName>
    <definedName name="Excel_BuiltIn_Print_Area_17_13">#REF!</definedName>
    <definedName name="Excel_BuiltIn_Print_Area_17_13_1">#N/A</definedName>
    <definedName name="Excel_BuiltIn_Print_Area_17_14">#REF!</definedName>
    <definedName name="Excel_BuiltIn_Print_Area_17_14_1">#N/A</definedName>
    <definedName name="Excel_BuiltIn_Print_Area_17_15">#REF!</definedName>
    <definedName name="Excel_BuiltIn_Print_Area_17_15_1">#N/A</definedName>
    <definedName name="Excel_BuiltIn_Print_Area_17_2">#REF!</definedName>
    <definedName name="Excel_BuiltIn_Print_Area_17_2_1">#N/A</definedName>
    <definedName name="Excel_BuiltIn_Print_Area_17_5">#REF!</definedName>
    <definedName name="Excel_BuiltIn_Print_Area_17_5_1">#N/A</definedName>
    <definedName name="Excel_BuiltIn_Print_Area_17_6">#REF!</definedName>
    <definedName name="Excel_BuiltIn_Print_Area_17_6_1">#N/A</definedName>
    <definedName name="Excel_BuiltIn_Print_Area_17_8">#REF!</definedName>
    <definedName name="Excel_BuiltIn_Print_Area_17_8_1">#N/A</definedName>
    <definedName name="Excel_BuiltIn_Print_Area_17_9">#REF!</definedName>
    <definedName name="Excel_BuiltIn_Print_Area_17_9_1">#N/A</definedName>
    <definedName name="Excel_BuiltIn_Print_Area_6">#REF!</definedName>
    <definedName name="Excel_BuiltIn_Print_Area_6_1">#N/A</definedName>
    <definedName name="Excel_BuiltIn_Print_Area_6_1_1">#N/A</definedName>
    <definedName name="Excel_BuiltIn_Print_Area_6_12">#REF!</definedName>
    <definedName name="Excel_BuiltIn_Print_Area_6_13">#REF!</definedName>
    <definedName name="Excel_BuiltIn_Print_Area_6_13_1">#N/A</definedName>
    <definedName name="Excel_BuiltIn_Print_Area_6_14">#REF!</definedName>
    <definedName name="Excel_BuiltIn_Print_Area_6_14_1">#N/A</definedName>
    <definedName name="Excel_BuiltIn_Print_Area_6_15">#REF!</definedName>
    <definedName name="Excel_BuiltIn_Print_Area_6_15_1">#N/A</definedName>
    <definedName name="Excel_BuiltIn_Print_Area_6_2">#REF!</definedName>
    <definedName name="Excel_BuiltIn_Print_Area_6_2_1">#N/A</definedName>
    <definedName name="Excel_BuiltIn_Print_Area_6_5">#REF!</definedName>
    <definedName name="Excel_BuiltIn_Print_Area_6_5_1">#N/A</definedName>
    <definedName name="Excel_BuiltIn_Print_Area_6_6">#REF!</definedName>
    <definedName name="Excel_BuiltIn_Print_Area_6_6_1">#N/A</definedName>
    <definedName name="Excel_BuiltIn_Print_Area_6_8">#REF!</definedName>
    <definedName name="Excel_BuiltIn_Print_Area_6_8_1">#N/A</definedName>
    <definedName name="Excel_BuiltIn_Print_Area_6_9">#REF!</definedName>
    <definedName name="Excel_BuiltIn_Print_Area_6_9_1">#N/A</definedName>
    <definedName name="Excel_BuiltIn_Print_Area_7">#REF!</definedName>
    <definedName name="Excel_BuiltIn_Print_Area_7_1">#N/A</definedName>
    <definedName name="Excel_BuiltIn_Print_Area_7_1_1">#N/A</definedName>
    <definedName name="Excel_BuiltIn_Print_Area_7_12">#REF!</definedName>
    <definedName name="Excel_BuiltIn_Print_Area_7_13">#REF!</definedName>
    <definedName name="Excel_BuiltIn_Print_Area_7_13_1">#N/A</definedName>
    <definedName name="Excel_BuiltIn_Print_Area_7_14">#REF!</definedName>
    <definedName name="Excel_BuiltIn_Print_Area_7_14_1">#N/A</definedName>
    <definedName name="Excel_BuiltIn_Print_Area_7_15">#REF!</definedName>
    <definedName name="Excel_BuiltIn_Print_Area_7_15_1">#N/A</definedName>
    <definedName name="Excel_BuiltIn_Print_Area_7_2">#REF!</definedName>
    <definedName name="Excel_BuiltIn_Print_Area_7_2_1">#N/A</definedName>
    <definedName name="Excel_BuiltIn_Print_Area_7_5">#REF!</definedName>
    <definedName name="Excel_BuiltIn_Print_Area_7_5_1">#N/A</definedName>
    <definedName name="Excel_BuiltIn_Print_Area_7_6">#REF!</definedName>
    <definedName name="Excel_BuiltIn_Print_Area_7_6_1">#N/A</definedName>
    <definedName name="Excel_BuiltIn_Print_Area_7_8">#REF!</definedName>
    <definedName name="Excel_BuiltIn_Print_Area_7_8_1">#N/A</definedName>
    <definedName name="Excel_BuiltIn_Print_Area_7_9">#REF!</definedName>
    <definedName name="Excel_BuiltIn_Print_Area_7_9_1">#N/A</definedName>
    <definedName name="Excel_BuiltIn_Print_Titles">NA()</definedName>
    <definedName name="Excel_BuiltIn_Print_Titles_1">#REF!</definedName>
    <definedName name="Excel_BuiltIn_Print_Titles_1_1">#N/A</definedName>
    <definedName name="Excel_BuiltIn_Print_Titles_1_1_1">#N/A</definedName>
    <definedName name="Excel_BuiltIn_Print_Titles_1_12">#REF!</definedName>
    <definedName name="Excel_BuiltIn_Print_Titles_1_13">#REF!</definedName>
    <definedName name="Excel_BuiltIn_Print_Titles_1_13_1">#N/A</definedName>
    <definedName name="Excel_BuiltIn_Print_Titles_1_14">#REF!</definedName>
    <definedName name="Excel_BuiltIn_Print_Titles_1_14_1">#N/A</definedName>
    <definedName name="Excel_BuiltIn_Print_Titles_1_15">#REF!</definedName>
    <definedName name="Excel_BuiltIn_Print_Titles_1_15_1">#N/A</definedName>
    <definedName name="Excel_BuiltIn_Print_Titles_1_2">#REF!</definedName>
    <definedName name="Excel_BuiltIn_Print_Titles_1_2_1">#N/A</definedName>
    <definedName name="Excel_BuiltIn_Print_Titles_1_5">#REF!</definedName>
    <definedName name="Excel_BuiltIn_Print_Titles_1_5_1">#N/A</definedName>
    <definedName name="Excel_BuiltIn_Print_Titles_1_6">#REF!</definedName>
    <definedName name="Excel_BuiltIn_Print_Titles_1_6_1">#N/A</definedName>
    <definedName name="Excel_BuiltIn_Print_Titles_1_8">#REF!</definedName>
    <definedName name="Excel_BuiltIn_Print_Titles_1_8_1">#N/A</definedName>
    <definedName name="Excel_BuiltIn_Print_Titles_1_9">#REF!</definedName>
    <definedName name="Excel_BuiltIn_Print_Titles_1_9_1">#N/A</definedName>
    <definedName name="Excel_BuiltIn_Print_Titles_11">#REF!,#REF!</definedName>
    <definedName name="Excel_BuiltIn_Print_Titles_11_12">(#REF!,#REF!)</definedName>
    <definedName name="Excel_BuiltIn_Print_Titles_11_13">(#REF!,#REF!)</definedName>
    <definedName name="Excel_BuiltIn_Print_Titles_11_14">(#REF!,#REF!)</definedName>
    <definedName name="Excel_BuiltIn_Print_Titles_11_15">(#REF!,#REF!)</definedName>
    <definedName name="Excel_BuiltIn_Print_Titles_11_2">(#REF!,#REF!)</definedName>
    <definedName name="Excel_BuiltIn_Print_Titles_11_5">(#REF!,#REF!)</definedName>
    <definedName name="Excel_BuiltIn_Print_Titles_11_6">(#REF!,#REF!)</definedName>
    <definedName name="Excel_BuiltIn_Print_Titles_11_8">(#REF!,#REF!)</definedName>
    <definedName name="Excel_BuiltIn_Print_Titles_11_9">(#REF!,#REF!)</definedName>
    <definedName name="Excel_BuiltIn_Print_Titles_12">#REF!</definedName>
    <definedName name="Excel_BuiltIn_Print_Titles_12_1">#N/A</definedName>
    <definedName name="Excel_BuiltIn_Print_Titles_12_1_1">#N/A</definedName>
    <definedName name="Excel_BuiltIn_Print_Titles_12_12">#REF!</definedName>
    <definedName name="Excel_BuiltIn_Print_Titles_12_13">#REF!</definedName>
    <definedName name="Excel_BuiltIn_Print_Titles_12_13_1">#N/A</definedName>
    <definedName name="Excel_BuiltIn_Print_Titles_12_14">#REF!</definedName>
    <definedName name="Excel_BuiltIn_Print_Titles_12_14_1">#N/A</definedName>
    <definedName name="Excel_BuiltIn_Print_Titles_12_15">#REF!</definedName>
    <definedName name="Excel_BuiltIn_Print_Titles_12_15_1">#N/A</definedName>
    <definedName name="Excel_BuiltIn_Print_Titles_12_2">#REF!</definedName>
    <definedName name="Excel_BuiltIn_Print_Titles_12_2_1">#N/A</definedName>
    <definedName name="Excel_BuiltIn_Print_Titles_12_5">#REF!</definedName>
    <definedName name="Excel_BuiltIn_Print_Titles_12_5_1">#N/A</definedName>
    <definedName name="Excel_BuiltIn_Print_Titles_12_6">#REF!</definedName>
    <definedName name="Excel_BuiltIn_Print_Titles_12_6_1">#N/A</definedName>
    <definedName name="Excel_BuiltIn_Print_Titles_12_8">#REF!</definedName>
    <definedName name="Excel_BuiltIn_Print_Titles_12_8_1">#N/A</definedName>
    <definedName name="Excel_BuiltIn_Print_Titles_12_9">#REF!</definedName>
    <definedName name="Excel_BuiltIn_Print_Titles_12_9_1">#N/A</definedName>
    <definedName name="Excel_BuiltIn_Print_Titles_13">#REF!</definedName>
    <definedName name="Excel_BuiltIn_Print_Titles_13_1">#N/A</definedName>
    <definedName name="Excel_BuiltIn_Print_Titles_13_1_1">#N/A</definedName>
    <definedName name="Excel_BuiltIn_Print_Titles_13_12">#REF!</definedName>
    <definedName name="Excel_BuiltIn_Print_Titles_13_13">#REF!</definedName>
    <definedName name="Excel_BuiltIn_Print_Titles_13_13_1">#N/A</definedName>
    <definedName name="Excel_BuiltIn_Print_Titles_13_14">#REF!</definedName>
    <definedName name="Excel_BuiltIn_Print_Titles_13_14_1">#N/A</definedName>
    <definedName name="Excel_BuiltIn_Print_Titles_13_15">#REF!</definedName>
    <definedName name="Excel_BuiltIn_Print_Titles_13_15_1">#N/A</definedName>
    <definedName name="Excel_BuiltIn_Print_Titles_13_2">#REF!</definedName>
    <definedName name="Excel_BuiltIn_Print_Titles_13_2_1">#N/A</definedName>
    <definedName name="Excel_BuiltIn_Print_Titles_13_5">#REF!</definedName>
    <definedName name="Excel_BuiltIn_Print_Titles_13_5_1">#N/A</definedName>
    <definedName name="Excel_BuiltIn_Print_Titles_13_6">#REF!</definedName>
    <definedName name="Excel_BuiltIn_Print_Titles_13_6_1">#N/A</definedName>
    <definedName name="Excel_BuiltIn_Print_Titles_13_8">#REF!</definedName>
    <definedName name="Excel_BuiltIn_Print_Titles_13_8_1">#N/A</definedName>
    <definedName name="Excel_BuiltIn_Print_Titles_13_9">#REF!</definedName>
    <definedName name="Excel_BuiltIn_Print_Titles_13_9_1">#N/A</definedName>
    <definedName name="Excel_BuiltIn_Print_Titles_14">#REF!</definedName>
    <definedName name="Excel_BuiltIn_Print_Titles_14_1">#N/A</definedName>
    <definedName name="Excel_BuiltIn_Print_Titles_14_1_1">#N/A</definedName>
    <definedName name="Excel_BuiltIn_Print_Titles_14_12">#REF!</definedName>
    <definedName name="Excel_BuiltIn_Print_Titles_14_13">#REF!</definedName>
    <definedName name="Excel_BuiltIn_Print_Titles_14_13_1">#N/A</definedName>
    <definedName name="Excel_BuiltIn_Print_Titles_14_14">#REF!</definedName>
    <definedName name="Excel_BuiltIn_Print_Titles_14_14_1">#N/A</definedName>
    <definedName name="Excel_BuiltIn_Print_Titles_14_15">#REF!</definedName>
    <definedName name="Excel_BuiltIn_Print_Titles_14_15_1">#N/A</definedName>
    <definedName name="Excel_BuiltIn_Print_Titles_14_2">#REF!</definedName>
    <definedName name="Excel_BuiltIn_Print_Titles_14_2_1">#N/A</definedName>
    <definedName name="Excel_BuiltIn_Print_Titles_14_5">#REF!</definedName>
    <definedName name="Excel_BuiltIn_Print_Titles_14_5_1">#N/A</definedName>
    <definedName name="Excel_BuiltIn_Print_Titles_14_6">#REF!</definedName>
    <definedName name="Excel_BuiltIn_Print_Titles_14_6_1">#N/A</definedName>
    <definedName name="Excel_BuiltIn_Print_Titles_14_8">#REF!</definedName>
    <definedName name="Excel_BuiltIn_Print_Titles_14_8_1">#N/A</definedName>
    <definedName name="Excel_BuiltIn_Print_Titles_14_9">#REF!</definedName>
    <definedName name="Excel_BuiltIn_Print_Titles_14_9_1">#N/A</definedName>
    <definedName name="Excel_BuiltIn_Print_Titles_15">#REF!</definedName>
    <definedName name="Excel_BuiltIn_Print_Titles_15_1">#N/A</definedName>
    <definedName name="Excel_BuiltIn_Print_Titles_15_1_1">#N/A</definedName>
    <definedName name="Excel_BuiltIn_Print_Titles_15_12">#REF!</definedName>
    <definedName name="Excel_BuiltIn_Print_Titles_15_13">#REF!</definedName>
    <definedName name="Excel_BuiltIn_Print_Titles_15_13_1">#N/A</definedName>
    <definedName name="Excel_BuiltIn_Print_Titles_15_14">#REF!</definedName>
    <definedName name="Excel_BuiltIn_Print_Titles_15_14_1">#N/A</definedName>
    <definedName name="Excel_BuiltIn_Print_Titles_15_15">#REF!</definedName>
    <definedName name="Excel_BuiltIn_Print_Titles_15_15_1">#N/A</definedName>
    <definedName name="Excel_BuiltIn_Print_Titles_15_2">#REF!</definedName>
    <definedName name="Excel_BuiltIn_Print_Titles_15_2_1">#N/A</definedName>
    <definedName name="Excel_BuiltIn_Print_Titles_15_5">#REF!</definedName>
    <definedName name="Excel_BuiltIn_Print_Titles_15_5_1">#N/A</definedName>
    <definedName name="Excel_BuiltIn_Print_Titles_15_6">#REF!</definedName>
    <definedName name="Excel_BuiltIn_Print_Titles_15_6_1">#N/A</definedName>
    <definedName name="Excel_BuiltIn_Print_Titles_15_8">#REF!</definedName>
    <definedName name="Excel_BuiltIn_Print_Titles_15_8_1">#N/A</definedName>
    <definedName name="Excel_BuiltIn_Print_Titles_15_9">#REF!</definedName>
    <definedName name="Excel_BuiltIn_Print_Titles_15_9_1">#N/A</definedName>
    <definedName name="Excel_BuiltIn_Print_Titles_16">#REF!</definedName>
    <definedName name="Excel_BuiltIn_Print_Titles_16_1">#N/A</definedName>
    <definedName name="Excel_BuiltIn_Print_Titles_16_1_1">#N/A</definedName>
    <definedName name="Excel_BuiltIn_Print_Titles_16_12">#REF!</definedName>
    <definedName name="Excel_BuiltIn_Print_Titles_16_13">#REF!</definedName>
    <definedName name="Excel_BuiltIn_Print_Titles_16_13_1">#N/A</definedName>
    <definedName name="Excel_BuiltIn_Print_Titles_16_14">#REF!</definedName>
    <definedName name="Excel_BuiltIn_Print_Titles_16_14_1">#N/A</definedName>
    <definedName name="Excel_BuiltIn_Print_Titles_16_15">#REF!</definedName>
    <definedName name="Excel_BuiltIn_Print_Titles_16_15_1">#N/A</definedName>
    <definedName name="Excel_BuiltIn_Print_Titles_16_2">#REF!</definedName>
    <definedName name="Excel_BuiltIn_Print_Titles_16_2_1">#N/A</definedName>
    <definedName name="Excel_BuiltIn_Print_Titles_16_5">#REF!</definedName>
    <definedName name="Excel_BuiltIn_Print_Titles_16_5_1">#N/A</definedName>
    <definedName name="Excel_BuiltIn_Print_Titles_16_6">#REF!</definedName>
    <definedName name="Excel_BuiltIn_Print_Titles_16_6_1">#N/A</definedName>
    <definedName name="Excel_BuiltIn_Print_Titles_16_8">#REF!</definedName>
    <definedName name="Excel_BuiltIn_Print_Titles_16_8_1">#N/A</definedName>
    <definedName name="Excel_BuiltIn_Print_Titles_16_9">#REF!</definedName>
    <definedName name="Excel_BuiltIn_Print_Titles_16_9_1">#N/A</definedName>
    <definedName name="Excel_BuiltIn_Print_Titles_2">#REF!</definedName>
    <definedName name="Excel_BuiltIn_Print_Titles_2_1">#N/A</definedName>
    <definedName name="Excel_BuiltIn_Print_Titles_2_1_1">#N/A</definedName>
    <definedName name="Excel_BuiltIn_Print_Titles_2_12">#REF!</definedName>
    <definedName name="Excel_BuiltIn_Print_Titles_2_13">#REF!</definedName>
    <definedName name="Excel_BuiltIn_Print_Titles_2_13_1">#N/A</definedName>
    <definedName name="Excel_BuiltIn_Print_Titles_2_14">#REF!</definedName>
    <definedName name="Excel_BuiltIn_Print_Titles_2_14_1">#N/A</definedName>
    <definedName name="Excel_BuiltIn_Print_Titles_2_15">#REF!</definedName>
    <definedName name="Excel_BuiltIn_Print_Titles_2_15_1">#N/A</definedName>
    <definedName name="Excel_BuiltIn_Print_Titles_2_2">#REF!</definedName>
    <definedName name="Excel_BuiltIn_Print_Titles_2_2_1">#N/A</definedName>
    <definedName name="Excel_BuiltIn_Print_Titles_2_5">#REF!</definedName>
    <definedName name="Excel_BuiltIn_Print_Titles_2_5_1">#N/A</definedName>
    <definedName name="Excel_BuiltIn_Print_Titles_2_6">#REF!</definedName>
    <definedName name="Excel_BuiltIn_Print_Titles_2_6_1">#N/A</definedName>
    <definedName name="Excel_BuiltIn_Print_Titles_2_8">#REF!</definedName>
    <definedName name="Excel_BuiltIn_Print_Titles_2_8_1">#N/A</definedName>
    <definedName name="Excel_BuiltIn_Print_Titles_2_9">#REF!</definedName>
    <definedName name="Excel_BuiltIn_Print_Titles_2_9_1">#N/A</definedName>
    <definedName name="Excel_BuiltIn_Print_Titles_3">#REF!</definedName>
    <definedName name="Excel_BuiltIn_Print_Titles_3_1">#N/A</definedName>
    <definedName name="Excel_BuiltIn_Print_Titles_3_1_1">#N/A</definedName>
    <definedName name="Excel_BuiltIn_Print_Titles_3_12">#REF!</definedName>
    <definedName name="Excel_BuiltIn_Print_Titles_3_13">#REF!</definedName>
    <definedName name="Excel_BuiltIn_Print_Titles_3_13_1">#N/A</definedName>
    <definedName name="Excel_BuiltIn_Print_Titles_3_14">#REF!</definedName>
    <definedName name="Excel_BuiltIn_Print_Titles_3_14_1">#N/A</definedName>
    <definedName name="Excel_BuiltIn_Print_Titles_3_15">#REF!</definedName>
    <definedName name="Excel_BuiltIn_Print_Titles_3_15_1">#N/A</definedName>
    <definedName name="Excel_BuiltIn_Print_Titles_3_2">#REF!</definedName>
    <definedName name="Excel_BuiltIn_Print_Titles_3_2_1">#N/A</definedName>
    <definedName name="Excel_BuiltIn_Print_Titles_3_5">#REF!</definedName>
    <definedName name="Excel_BuiltIn_Print_Titles_3_5_1">#N/A</definedName>
    <definedName name="Excel_BuiltIn_Print_Titles_3_6">#REF!</definedName>
    <definedName name="Excel_BuiltIn_Print_Titles_3_6_1">#N/A</definedName>
    <definedName name="Excel_BuiltIn_Print_Titles_3_8">#REF!</definedName>
    <definedName name="Excel_BuiltIn_Print_Titles_3_8_1">#N/A</definedName>
    <definedName name="Excel_BuiltIn_Print_Titles_3_9">#REF!</definedName>
    <definedName name="Excel_BuiltIn_Print_Titles_3_9_1">#N/A</definedName>
    <definedName name="Excel_BuiltIn_Print_Titles_4">#REF!</definedName>
    <definedName name="Excel_BuiltIn_Print_Titles_4_1">#N/A</definedName>
    <definedName name="Excel_BuiltIn_Print_Titles_4_1_1">#N/A</definedName>
    <definedName name="Excel_BuiltIn_Print_Titles_4_12">#REF!</definedName>
    <definedName name="Excel_BuiltIn_Print_Titles_4_13">#REF!</definedName>
    <definedName name="Excel_BuiltIn_Print_Titles_4_13_1">#N/A</definedName>
    <definedName name="Excel_BuiltIn_Print_Titles_4_14">#REF!</definedName>
    <definedName name="Excel_BuiltIn_Print_Titles_4_14_1">#N/A</definedName>
    <definedName name="Excel_BuiltIn_Print_Titles_4_15">#REF!</definedName>
    <definedName name="Excel_BuiltIn_Print_Titles_4_15_1">#N/A</definedName>
    <definedName name="Excel_BuiltIn_Print_Titles_4_2">#REF!</definedName>
    <definedName name="Excel_BuiltIn_Print_Titles_4_2_1">#N/A</definedName>
    <definedName name="Excel_BuiltIn_Print_Titles_4_5">#REF!</definedName>
    <definedName name="Excel_BuiltIn_Print_Titles_4_5_1">#N/A</definedName>
    <definedName name="Excel_BuiltIn_Print_Titles_4_6">#REF!</definedName>
    <definedName name="Excel_BuiltIn_Print_Titles_4_6_1">#N/A</definedName>
    <definedName name="Excel_BuiltIn_Print_Titles_4_8">#REF!</definedName>
    <definedName name="Excel_BuiltIn_Print_Titles_4_8_1">#N/A</definedName>
    <definedName name="Excel_BuiltIn_Print_Titles_4_9">#REF!</definedName>
    <definedName name="Excel_BuiltIn_Print_Titles_4_9_1">#N/A</definedName>
    <definedName name="Excel_BuiltIn_Print_Titles_5">#REF!</definedName>
    <definedName name="Excel_BuiltIn_Print_Titles_5_1">#N/A</definedName>
    <definedName name="Excel_BuiltIn_Print_Titles_5_1_1">#N/A</definedName>
    <definedName name="Excel_BuiltIn_Print_Titles_5_12">#REF!</definedName>
    <definedName name="Excel_BuiltIn_Print_Titles_5_13">#REF!</definedName>
    <definedName name="Excel_BuiltIn_Print_Titles_5_13_1">#N/A</definedName>
    <definedName name="Excel_BuiltIn_Print_Titles_5_14">#REF!</definedName>
    <definedName name="Excel_BuiltIn_Print_Titles_5_14_1">#N/A</definedName>
    <definedName name="Excel_BuiltIn_Print_Titles_5_15">#REF!</definedName>
    <definedName name="Excel_BuiltIn_Print_Titles_5_15_1">#N/A</definedName>
    <definedName name="Excel_BuiltIn_Print_Titles_5_2">#REF!</definedName>
    <definedName name="Excel_BuiltIn_Print_Titles_5_2_1">#N/A</definedName>
    <definedName name="Excel_BuiltIn_Print_Titles_5_5">#REF!</definedName>
    <definedName name="Excel_BuiltIn_Print_Titles_5_5_1">#N/A</definedName>
    <definedName name="Excel_BuiltIn_Print_Titles_5_6">#REF!</definedName>
    <definedName name="Excel_BuiltIn_Print_Titles_5_6_1">#N/A</definedName>
    <definedName name="Excel_BuiltIn_Print_Titles_5_8">#REF!</definedName>
    <definedName name="Excel_BuiltIn_Print_Titles_5_8_1">#N/A</definedName>
    <definedName name="Excel_BuiltIn_Print_Titles_5_9">#REF!</definedName>
    <definedName name="Excel_BuiltIn_Print_Titles_5_9_1">#N/A</definedName>
    <definedName name="Excel_BuiltIn_Print_Titles_6">#REF!</definedName>
    <definedName name="Excel_BuiltIn_Print_Titles_6_1">#N/A</definedName>
    <definedName name="Excel_BuiltIn_Print_Titles_6_1_1">#N/A</definedName>
    <definedName name="Excel_BuiltIn_Print_Titles_6_12">#REF!</definedName>
    <definedName name="Excel_BuiltIn_Print_Titles_6_13">#REF!</definedName>
    <definedName name="Excel_BuiltIn_Print_Titles_6_13_1">#N/A</definedName>
    <definedName name="Excel_BuiltIn_Print_Titles_6_14">#REF!</definedName>
    <definedName name="Excel_BuiltIn_Print_Titles_6_14_1">#N/A</definedName>
    <definedName name="Excel_BuiltIn_Print_Titles_6_15">#REF!</definedName>
    <definedName name="Excel_BuiltIn_Print_Titles_6_15_1">#N/A</definedName>
    <definedName name="Excel_BuiltIn_Print_Titles_6_2">#REF!</definedName>
    <definedName name="Excel_BuiltIn_Print_Titles_6_2_1">#N/A</definedName>
    <definedName name="Excel_BuiltIn_Print_Titles_6_5">#REF!</definedName>
    <definedName name="Excel_BuiltIn_Print_Titles_6_5_1">#N/A</definedName>
    <definedName name="Excel_BuiltIn_Print_Titles_6_6">#REF!</definedName>
    <definedName name="Excel_BuiltIn_Print_Titles_6_6_1">#N/A</definedName>
    <definedName name="Excel_BuiltIn_Print_Titles_6_8">#REF!</definedName>
    <definedName name="Excel_BuiltIn_Print_Titles_6_8_1">#N/A</definedName>
    <definedName name="Excel_BuiltIn_Print_Titles_6_9">#REF!</definedName>
    <definedName name="Excel_BuiltIn_Print_Titles_6_9_1">#N/A</definedName>
    <definedName name="Excel_BuiltIn_Print_Titles_7">#REF!</definedName>
    <definedName name="Excel_BuiltIn_Print_Titles_7_1">#N/A</definedName>
    <definedName name="Excel_BuiltIn_Print_Titles_7_1_1">#N/A</definedName>
    <definedName name="Excel_BuiltIn_Print_Titles_7_12">#REF!</definedName>
    <definedName name="Excel_BuiltIn_Print_Titles_7_13">#REF!</definedName>
    <definedName name="Excel_BuiltIn_Print_Titles_7_13_1">#N/A</definedName>
    <definedName name="Excel_BuiltIn_Print_Titles_7_14">#REF!</definedName>
    <definedName name="Excel_BuiltIn_Print_Titles_7_14_1">#N/A</definedName>
    <definedName name="Excel_BuiltIn_Print_Titles_7_15">#REF!</definedName>
    <definedName name="Excel_BuiltIn_Print_Titles_7_15_1">#N/A</definedName>
    <definedName name="Excel_BuiltIn_Print_Titles_7_2">#REF!</definedName>
    <definedName name="Excel_BuiltIn_Print_Titles_7_2_1">#N/A</definedName>
    <definedName name="Excel_BuiltIn_Print_Titles_7_5">#REF!</definedName>
    <definedName name="Excel_BuiltIn_Print_Titles_7_5_1">#N/A</definedName>
    <definedName name="Excel_BuiltIn_Print_Titles_7_6">#REF!</definedName>
    <definedName name="Excel_BuiltIn_Print_Titles_7_6_1">#N/A</definedName>
    <definedName name="Excel_BuiltIn_Print_Titles_7_8">#REF!</definedName>
    <definedName name="Excel_BuiltIn_Print_Titles_7_8_1">#N/A</definedName>
    <definedName name="Excel_BuiltIn_Print_Titles_7_9">#REF!</definedName>
    <definedName name="Excel_BuiltIn_Print_Titles_7_9_1">#N/A</definedName>
    <definedName name="Excel_BuiltIn_Print_Titles_8">#REF!</definedName>
    <definedName name="Excel_BuiltIn_Print_Titles_8_1">#N/A</definedName>
    <definedName name="Excel_BuiltIn_Print_Titles_8_14">#REF!</definedName>
    <definedName name="Excel_BuiltIn_Print_Titles_8_14_1">#N/A</definedName>
    <definedName name="Excel_BuiltIn_Print_Titles_8_15">#REF!</definedName>
    <definedName name="Excel_BuiltIn_Print_Titles_8_15_1">#N/A</definedName>
    <definedName name="Excel_BuiltIn_Print_Titles_8_2">#REF!</definedName>
    <definedName name="Excel_BuiltIn_Print_Titles_8_2_1">#N/A</definedName>
    <definedName name="Excel_BuiltIn_Print_Titles_8_6">#REF!</definedName>
    <definedName name="Excel_BuiltIn_Print_Titles_8_6_1">#N/A</definedName>
    <definedName name="Excel_BuiltIn_Print_Titles_8_8">#REF!</definedName>
    <definedName name="Excel_BuiltIn_Print_Titles_8_8_1">#N/A</definedName>
    <definedName name="Excel_BuiltIn_Print_Titles_8_9">#REF!</definedName>
    <definedName name="Excel_BuiltIn_Print_Titles_8_9_1">#N/A</definedName>
    <definedName name="Excel_BuittIn_Print_Titles_4">#REF!</definedName>
    <definedName name="Excel_BuittIn_Print_Titles_4_1">#N/A</definedName>
    <definedName name="Excel_BuittIn_Print_Titles_4_14">#REF!</definedName>
    <definedName name="Excel_BuittIn_Print_Titles_4_14_1">#N/A</definedName>
    <definedName name="Excel_BuittIn_Print_Titles_4_15">#REF!</definedName>
    <definedName name="Excel_BuittIn_Print_Titles_4_15_1">#N/A</definedName>
    <definedName name="Excel_BuittIn_Print_Titles_4_2">#REF!</definedName>
    <definedName name="Excel_BuittIn_Print_Titles_4_2_1">#N/A</definedName>
    <definedName name="Excel_BuittIn_Print_Titles_4_6">#REF!</definedName>
    <definedName name="Excel_BuittIn_Print_Titles_4_6_1">#N/A</definedName>
    <definedName name="Excel_BuittIn_Print_Titles_4_8">#REF!</definedName>
    <definedName name="Excel_BuittIn_Print_Titles_4_8_1">#N/A</definedName>
    <definedName name="Excel_BuittIn_Print_Titles_4_9">#REF!</definedName>
    <definedName name="Excel_BuittIn_Print_Titles_4_9_1">#N/A</definedName>
    <definedName name="excelku">#N/A</definedName>
    <definedName name="f">#REF!</definedName>
    <definedName name="g">#REF!</definedName>
    <definedName name="honor10">#N/A</definedName>
    <definedName name="honor10_1">#N/A</definedName>
    <definedName name="honor3.3">#N/A</definedName>
    <definedName name="honor3.3_1">#N/A</definedName>
    <definedName name="HR">#N/A</definedName>
    <definedName name="HR_1">#N/A</definedName>
    <definedName name="iit">#REF!</definedName>
    <definedName name="iit_1">#N/A</definedName>
    <definedName name="iit_1_1">#N/A</definedName>
    <definedName name="iit_12">#REF!</definedName>
    <definedName name="iit_13">#REF!</definedName>
    <definedName name="iit_13_1">#N/A</definedName>
    <definedName name="iit_14">#REF!</definedName>
    <definedName name="iit_14_1">#N/A</definedName>
    <definedName name="iit_15">#REF!</definedName>
    <definedName name="iit_15_1">#N/A</definedName>
    <definedName name="iit_2">#REF!</definedName>
    <definedName name="iit_2_1">#N/A</definedName>
    <definedName name="iit_5">#REF!</definedName>
    <definedName name="iit_5_1">#N/A</definedName>
    <definedName name="iit_6">#REF!</definedName>
    <definedName name="iit_6_1">#N/A</definedName>
    <definedName name="iit_8">#REF!</definedName>
    <definedName name="iit_8_1">#N/A</definedName>
    <definedName name="iit_9">#REF!</definedName>
    <definedName name="iit_9_1">#N/A</definedName>
    <definedName name="ina">#REF!</definedName>
    <definedName name="ina_1">#N/A</definedName>
    <definedName name="ina_1_1">#N/A</definedName>
    <definedName name="ina_12">#REF!</definedName>
    <definedName name="ina_14">#REF!</definedName>
    <definedName name="ina_14_1">#N/A</definedName>
    <definedName name="ina_15">#REF!</definedName>
    <definedName name="ina_15_1">#N/A</definedName>
    <definedName name="ina_2">#REF!</definedName>
    <definedName name="ina_2_1">#N/A</definedName>
    <definedName name="ina_6">#REF!</definedName>
    <definedName name="ina_6_1">#N/A</definedName>
    <definedName name="ina_8">#REF!</definedName>
    <definedName name="ina_8_1">#N/A</definedName>
    <definedName name="ina_9">#REF!</definedName>
    <definedName name="ina_9_1">#N/A</definedName>
    <definedName name="jjjj">#REF!</definedName>
    <definedName name="KegiatanRange">#REF!</definedName>
    <definedName name="KegiatanRange_1">#N/A</definedName>
    <definedName name="KegiatanRange_18">#REF!</definedName>
    <definedName name="KegiatanRange_20">#REF!</definedName>
    <definedName name="kUA">#REF!</definedName>
    <definedName name="kUA_1">#N/A</definedName>
    <definedName name="kUA_1_1">#N/A</definedName>
    <definedName name="kUA_12">#REF!</definedName>
    <definedName name="kUA_14">#REF!</definedName>
    <definedName name="kUA_14_1">#N/A</definedName>
    <definedName name="kUA_15">#REF!</definedName>
    <definedName name="kUA_15_1">#N/A</definedName>
    <definedName name="kUA_2">#REF!</definedName>
    <definedName name="kUA_2_1">#N/A</definedName>
    <definedName name="kUA_6">#REF!</definedName>
    <definedName name="kUA_6_1">#N/A</definedName>
    <definedName name="kUA_8">#REF!</definedName>
    <definedName name="kUA_8_1">#N/A</definedName>
    <definedName name="kUA_9">#REF!</definedName>
    <definedName name="kUA_9_1">#N/A</definedName>
    <definedName name="l">#REF!</definedName>
    <definedName name="l_1">#N/A</definedName>
    <definedName name="l_18">#REF!</definedName>
    <definedName name="l_20">#REF!</definedName>
    <definedName name="matrik">#REF!</definedName>
    <definedName name="matrik_1">#N/A</definedName>
    <definedName name="matrik_15">#REF!</definedName>
    <definedName name="namaku">#REF!</definedName>
    <definedName name="nn">#REF!</definedName>
    <definedName name="O">#REF!</definedName>
    <definedName name="O_1">#N/A</definedName>
    <definedName name="O_14">#REF!</definedName>
    <definedName name="O_14_1">#N/A</definedName>
    <definedName name="O_15">#REF!</definedName>
    <definedName name="O_15_1">#N/A</definedName>
    <definedName name="O_2">#REF!</definedName>
    <definedName name="O_2_1">#N/A</definedName>
    <definedName name="O_6">#REF!</definedName>
    <definedName name="O_6_1">#N/A</definedName>
    <definedName name="O_8">#REF!</definedName>
    <definedName name="O_8_1">#N/A</definedName>
    <definedName name="O_9">#REF!</definedName>
    <definedName name="O_9_1">#N/A</definedName>
    <definedName name="pak">#N/A</definedName>
    <definedName name="pkpr">#REF!</definedName>
    <definedName name="_xlnm.Print_Titles" localSheetId="0">jatikalenfix!$9:$10</definedName>
    <definedName name="RKA">#REF!</definedName>
    <definedName name="rkakesga23nov2016">#REF!</definedName>
    <definedName name="TU">#REF!</definedName>
    <definedName name="wa">#REF!</definedName>
    <definedName name="xx">#REF!</definedName>
    <definedName name="xx_1">#N/A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1" i="1"/>
  <c r="U50"/>
  <c r="U49"/>
  <c r="U169"/>
  <c r="U168"/>
  <c r="U133"/>
  <c r="U132"/>
  <c r="U131"/>
  <c r="U66"/>
  <c r="U65"/>
  <c r="U64"/>
  <c r="U63"/>
  <c r="V48" l="1"/>
  <c r="U232"/>
  <c r="U231"/>
  <c r="U230"/>
  <c r="U229"/>
  <c r="U226"/>
  <c r="U225"/>
  <c r="U224"/>
  <c r="U223"/>
  <c r="U220"/>
  <c r="U219"/>
  <c r="U217"/>
  <c r="U216"/>
  <c r="U215"/>
  <c r="U214"/>
  <c r="U212"/>
  <c r="U211"/>
  <c r="U210"/>
  <c r="U209"/>
  <c r="U208"/>
  <c r="U207"/>
  <c r="U205"/>
  <c r="U204"/>
  <c r="U203"/>
  <c r="U202"/>
  <c r="U201"/>
  <c r="U200"/>
  <c r="U199"/>
  <c r="U197"/>
  <c r="U196"/>
  <c r="U195"/>
  <c r="U194"/>
  <c r="U193"/>
  <c r="U192"/>
  <c r="U191"/>
  <c r="U190"/>
  <c r="U188"/>
  <c r="V187" s="1"/>
  <c r="U186"/>
  <c r="V185" s="1"/>
  <c r="U184"/>
  <c r="V183" s="1"/>
  <c r="U182"/>
  <c r="V181" s="1"/>
  <c r="U180"/>
  <c r="U179"/>
  <c r="U178"/>
  <c r="U176"/>
  <c r="V175" s="1"/>
  <c r="U174"/>
  <c r="U173"/>
  <c r="U171"/>
  <c r="U170"/>
  <c r="U166"/>
  <c r="V165" s="1"/>
  <c r="U164"/>
  <c r="V163" s="1"/>
  <c r="U162"/>
  <c r="U161"/>
  <c r="U160"/>
  <c r="U159"/>
  <c r="U157"/>
  <c r="V156" s="1"/>
  <c r="U155"/>
  <c r="V154" s="1"/>
  <c r="U153"/>
  <c r="V152" s="1"/>
  <c r="U151"/>
  <c r="U150"/>
  <c r="U149"/>
  <c r="U148"/>
  <c r="U145"/>
  <c r="U144"/>
  <c r="U143"/>
  <c r="U142"/>
  <c r="U141"/>
  <c r="U140"/>
  <c r="U139"/>
  <c r="U138"/>
  <c r="U137"/>
  <c r="U136"/>
  <c r="U129"/>
  <c r="U128"/>
  <c r="U126"/>
  <c r="U125"/>
  <c r="U124"/>
  <c r="U123"/>
  <c r="U122"/>
  <c r="U121"/>
  <c r="U120"/>
  <c r="U119"/>
  <c r="U118"/>
  <c r="U117"/>
  <c r="U116"/>
  <c r="U115"/>
  <c r="U114"/>
  <c r="U113"/>
  <c r="U112"/>
  <c r="U111"/>
  <c r="U110"/>
  <c r="U109"/>
  <c r="U108"/>
  <c r="U107"/>
  <c r="U106"/>
  <c r="U105"/>
  <c r="U104"/>
  <c r="U103"/>
  <c r="U102"/>
  <c r="U101"/>
  <c r="U100"/>
  <c r="U99"/>
  <c r="U98"/>
  <c r="U97"/>
  <c r="U96"/>
  <c r="U95"/>
  <c r="U94"/>
  <c r="U93"/>
  <c r="U92"/>
  <c r="U91"/>
  <c r="U88"/>
  <c r="U87"/>
  <c r="U86"/>
  <c r="U85"/>
  <c r="U84"/>
  <c r="U83"/>
  <c r="U82"/>
  <c r="U80"/>
  <c r="V78" s="1"/>
  <c r="U77"/>
  <c r="U75"/>
  <c r="U74"/>
  <c r="U73"/>
  <c r="U72"/>
  <c r="U71"/>
  <c r="U70"/>
  <c r="U69"/>
  <c r="U68"/>
  <c r="U61"/>
  <c r="U57"/>
  <c r="V56" s="1"/>
  <c r="U55"/>
  <c r="U54"/>
  <c r="U53"/>
  <c r="U47"/>
  <c r="U46"/>
  <c r="U45"/>
  <c r="U44"/>
  <c r="U43"/>
  <c r="U42"/>
  <c r="U41"/>
  <c r="U40"/>
  <c r="U39"/>
  <c r="U38"/>
  <c r="U37"/>
  <c r="U36"/>
  <c r="U35"/>
  <c r="U34"/>
  <c r="U32"/>
  <c r="U31"/>
  <c r="U30"/>
  <c r="U29"/>
  <c r="U28"/>
  <c r="U27"/>
  <c r="U26"/>
  <c r="U25"/>
  <c r="U24"/>
  <c r="U23"/>
  <c r="U22"/>
  <c r="U20"/>
  <c r="V19" s="1"/>
  <c r="U18"/>
  <c r="U17"/>
  <c r="U16"/>
  <c r="U15"/>
  <c r="U14"/>
  <c r="V127" l="1"/>
  <c r="V12"/>
  <c r="V218"/>
  <c r="V225"/>
  <c r="V167"/>
  <c r="V33"/>
  <c r="V172"/>
  <c r="V52"/>
  <c r="V228"/>
  <c r="V81"/>
  <c r="V223"/>
  <c r="V177"/>
  <c r="V214"/>
  <c r="V213" s="1"/>
  <c r="V59"/>
  <c r="V58" s="1"/>
  <c r="V90"/>
  <c r="V158"/>
  <c r="V198"/>
  <c r="V206"/>
  <c r="V13"/>
  <c r="V21"/>
  <c r="V135"/>
  <c r="V147"/>
  <c r="V189"/>
  <c r="V227"/>
  <c r="V222" l="1"/>
  <c r="V221" s="1"/>
  <c r="V89"/>
  <c r="V146"/>
  <c r="V11" l="1"/>
  <c r="W11" s="1"/>
</calcChain>
</file>

<file path=xl/sharedStrings.xml><?xml version="1.0" encoding="utf-8"?>
<sst xmlns="http://schemas.openxmlformats.org/spreadsheetml/2006/main" count="1429" uniqueCount="241">
  <si>
    <t>RENCANA ANGGARAN BIAYA (RAB)</t>
  </si>
  <si>
    <t>BANTUAN OPERASIONAL KESEHATAN PUSKESMAS</t>
  </si>
  <si>
    <t>DANA ALOKASI KHUSUS NONFISIK BIDANG KESEHATAN TA 2022</t>
  </si>
  <si>
    <t>DINAS KESEHATAN KABUPATEN NGANJUK</t>
  </si>
  <si>
    <t>PUSKESMAS JATIKALEN</t>
  </si>
  <si>
    <t>No</t>
  </si>
  <si>
    <t>KOMPONEN RINCIAN MENU KEGIATAN</t>
  </si>
  <si>
    <t>KOMPONEN PEMBIAYAAN</t>
  </si>
  <si>
    <t>URAIAN KOMPONEN</t>
  </si>
  <si>
    <t>SATUAN</t>
  </si>
  <si>
    <t>RINCIAN</t>
  </si>
  <si>
    <t>HARGA SATUAN</t>
  </si>
  <si>
    <t>SUB TOTAL</t>
  </si>
  <si>
    <t>JUMLAH TOTAL</t>
  </si>
  <si>
    <t>KODE
REKENING</t>
  </si>
  <si>
    <t>DETAIL</t>
  </si>
  <si>
    <t>Jumlah Total Kebutuhan Anggaran</t>
  </si>
  <si>
    <t>Upaya Penurunan AKI, AKB</t>
  </si>
  <si>
    <t>Surveilen kesehatan ibu dan bayi</t>
  </si>
  <si>
    <t>a</t>
  </si>
  <si>
    <t>PELACAKAN KASUS KEMATIAN IBU DAN BAYI</t>
  </si>
  <si>
    <t>5.1.02.04.01.0002</t>
  </si>
  <si>
    <t>Belanja perjalanan dinas tetap</t>
  </si>
  <si>
    <t>Transport Petugas Faskes</t>
  </si>
  <si>
    <t>Orang/Hari</t>
  </si>
  <si>
    <t>orang</t>
  </si>
  <si>
    <t>x</t>
  </si>
  <si>
    <t>kali</t>
  </si>
  <si>
    <t>b</t>
  </si>
  <si>
    <t>KUNJUNGAN NEONATUS RESTI</t>
  </si>
  <si>
    <t>bln</t>
  </si>
  <si>
    <t>c</t>
  </si>
  <si>
    <t>VALIDASI DATA KIA</t>
  </si>
  <si>
    <t>5.1.02.01.01.0052</t>
  </si>
  <si>
    <t>Belanja Makanan dan Minuman Rapat</t>
  </si>
  <si>
    <t>Nasi Kotak</t>
  </si>
  <si>
    <t>Orang/Kali</t>
  </si>
  <si>
    <t>Belanja Makan dan Minum Rapat</t>
  </si>
  <si>
    <t>Kudapan/Snack (termasuk air minum dan Kotak )</t>
  </si>
  <si>
    <t>Orang/kali</t>
  </si>
  <si>
    <t>5.1.02.01.01.0026</t>
  </si>
  <si>
    <t>Banner</t>
  </si>
  <si>
    <t>Meter</t>
  </si>
  <si>
    <t>meter</t>
  </si>
  <si>
    <t>2.</t>
  </si>
  <si>
    <t>Peningkatan Mutu Layanan Ibu dan Bayi Baru Lahir di Puskesmas dan Rumah Sakit</t>
  </si>
  <si>
    <t>SUPERVISI FASILITATIF</t>
  </si>
  <si>
    <t>plds/pustu</t>
  </si>
  <si>
    <t>3.</t>
  </si>
  <si>
    <t>Peningkatan pemberdayaan masyarakat melalui UKBM dalam upaya penurunan AKI AKB terintegrasi dengan upaya perbaikan gizi masyarakat</t>
  </si>
  <si>
    <t>a.</t>
  </si>
  <si>
    <t>PEMBINAAN UKBM ( PUSTU,POLINDES / POSKESDES )</t>
  </si>
  <si>
    <t>c.</t>
  </si>
  <si>
    <t>PEMBINAAN POSYANDU</t>
  </si>
  <si>
    <t>posy</t>
  </si>
  <si>
    <t>d.</t>
  </si>
  <si>
    <t xml:space="preserve"> PEMBINAAN POSYANDU REMAJA</t>
  </si>
  <si>
    <t>posy remaja</t>
  </si>
  <si>
    <t>e.</t>
  </si>
  <si>
    <t>PEMBENTUKAN POS UKK DALAM UPAYA PERBAIKAN GIZI MASYARAKAT</t>
  </si>
  <si>
    <t>posy ukk</t>
  </si>
  <si>
    <t>f</t>
  </si>
  <si>
    <t>PEMBINAAN POS UKK DALAM UPAYA PERBAIKAN GIZI MASYARAKAT</t>
  </si>
  <si>
    <t>4.</t>
  </si>
  <si>
    <t>Pemeriksaan Kesehatan, Pemberian Tablet Tambah Darah, Edukasi Gizi Seimbang, dan Pendidikan Kespro Pada Anak Usia ekolah dan Remaja</t>
  </si>
  <si>
    <t>SCREENING UKS SD/MI</t>
  </si>
  <si>
    <t>SD</t>
  </si>
  <si>
    <t>b.</t>
  </si>
  <si>
    <t>SCREENING UKS SMP/MTS</t>
  </si>
  <si>
    <t>smp/mts</t>
  </si>
  <si>
    <t>PERTEMUAN GURU UKS (SD/MI/SMP/MTS)</t>
  </si>
  <si>
    <t>baner</t>
  </si>
  <si>
    <t>5.1.02.04.01.0003</t>
  </si>
  <si>
    <t>Belanja perjalanan dinas dalam kota</t>
  </si>
  <si>
    <t xml:space="preserve">Bantuan transport kader </t>
  </si>
  <si>
    <t>PEMBINAAN KADER TIWISADA</t>
  </si>
  <si>
    <t xml:space="preserve">PEMBINAAN KADER KESEHATAN REMAJA </t>
  </si>
  <si>
    <t>5.</t>
  </si>
  <si>
    <t>Pelayanan Kesehatan Reproduksi Bagi Calon Pengantin, Pasangan Usia Subur (PUS)</t>
  </si>
  <si>
    <t>PERTEMUAN KELAS CATIN DI PUSKESMAS</t>
  </si>
  <si>
    <t>6.</t>
  </si>
  <si>
    <t>Program Perencanaan dan Pencegahan Kompliikasi Terintegrasi Desa Siaga</t>
  </si>
  <si>
    <t>PENCEGAHAN KOMPLIKASI ( P4K) TERINTEGRASI DESA SIAGA</t>
  </si>
  <si>
    <t>Upaya  perbaikan gizi masyarakat</t>
  </si>
  <si>
    <t>Surveilen Gizi</t>
  </si>
  <si>
    <t>e</t>
  </si>
  <si>
    <t>Pelacakan dan Pendampingan Intervensi gizi pada Bumil KEK, Balita yang Memiliki gangguan pertumbuhan / bermasalah Status Gizinya</t>
  </si>
  <si>
    <t xml:space="preserve">Pelacakan dan pendampingan intervensi gizi pada ibu hamil KEK dan Balitayang memiliki gangguan pertumbuhan dan bermasalah status gizi </t>
  </si>
  <si>
    <t>belanja perjalanan dinas tetap</t>
  </si>
  <si>
    <t>Transport petugas Faskes</t>
  </si>
  <si>
    <t>orang/hari</t>
  </si>
  <si>
    <t>Edukasi/Penyuluhan kepada Masyarakat pentingnya pemantauan pertumbuhan dan peningkatan ketahanan gizi</t>
  </si>
  <si>
    <t>PEMBINAAN PEMBERIAN MAKAN BAYI DAN ANAK DAN GIZI SEIMBANG ( ISI PIRINGKU )</t>
  </si>
  <si>
    <t>belanja alat/bahan untuk kegiatan kantor-bahan cetak</t>
  </si>
  <si>
    <t>baner pertemuan</t>
  </si>
  <si>
    <t>Uang Transportasi
kegiatan dalam kota</t>
  </si>
  <si>
    <t>Bantuan transport kader</t>
  </si>
  <si>
    <t>EDUKASI DAN KONSELING PMBA DAN GIZI SEIMBANG</t>
  </si>
  <si>
    <t>ds</t>
  </si>
  <si>
    <t>PENDATAAN DAN PEMUTAKHIRAN SASARAN PROGRAM KESEHATAN  MASYARAKAT</t>
  </si>
  <si>
    <t>tempat</t>
  </si>
  <si>
    <t>i</t>
  </si>
  <si>
    <t>Pelacakan dan pendampingan penduduk dengan resiko masalah gizi</t>
  </si>
  <si>
    <t xml:space="preserve">KUNJUNGAN RUMAH DALAM RANGKA BALITA RESIKO PERTUMBUHAN </t>
  </si>
  <si>
    <t>Pemantauan Tumbuh Kembang Balita</t>
  </si>
  <si>
    <t>Pendampingan pemantauan tumbuh kembang balita</t>
  </si>
  <si>
    <t>PENDAMPINGAN PEMANTAUAN TUMBUH KEMBANG BALITA GIZI BURUK /NON GENTASISBU</t>
  </si>
  <si>
    <t>Pemeriksaan dan Pengawasan Kualitas Air dan Sanitasi Dasar</t>
  </si>
  <si>
    <t>Inspeksi kesehatan lingkungan untuk sarana air minum dan sanitasi dasar</t>
  </si>
  <si>
    <t>Pengambilan data sanitasi dan air tingkat rumah tangga</t>
  </si>
  <si>
    <t>Orientasi STBM, PKAM bagi natural leader dan pemangku kepentingan lainnya</t>
  </si>
  <si>
    <t xml:space="preserve">baner pertemuan </t>
  </si>
  <si>
    <t xml:space="preserve">Belanja perjalanan dinas dalam kota </t>
  </si>
  <si>
    <t>5.1.02.02.01.0003</t>
  </si>
  <si>
    <t>Belanja tenaga ahli/narasumber/instru ktur</t>
  </si>
  <si>
    <t xml:space="preserve">honor Narasumber </t>
  </si>
  <si>
    <t>Orang/Jam</t>
  </si>
  <si>
    <t>UPAYA GERAKAN MASYARAKAT HIDUP SEHAT</t>
  </si>
  <si>
    <t>1.</t>
  </si>
  <si>
    <t>Penggerakkan Gerakan Masyarakat Hidup Sehat</t>
  </si>
  <si>
    <t>ADVOKASI PENGUATAN GERAKAN MASYARAKAT HIDUP SEHAT DI TINGKAT KECAMATAN</t>
  </si>
  <si>
    <t>PEMBENTUKAN FORUM GERAKAN MASYARAKAT HIDUP SEHAT DI TINGKAT KECAMATAN</t>
  </si>
  <si>
    <t>KOORDINASI FORUM GERAKAN MASYARAKAT HIDUP SEHAT TINGKAT KECAMATAN</t>
  </si>
  <si>
    <t>Penggerakan Tokoh  Masyarakat di Tatanan Mendukung Cluster aktifitas fisik, edukasi dan perilaku sehat, deteksi dini penyakit, lingkungan sehat pangan sehat dan perbaikan gizi</t>
  </si>
  <si>
    <t>KEGIATAN PENDAMPINGAN KADER DALAM PENDAMPINGAN PENGGERAKAN MASYARAKAT HIDUP SEHAT  (SMD )</t>
  </si>
  <si>
    <t>bantuan transport kader</t>
  </si>
  <si>
    <t>hr</t>
  </si>
  <si>
    <t>f.</t>
  </si>
  <si>
    <t>PEMBINAAN GERAKAN TOKOH MASYARAKAT HIDUP SEHAT TINGKAT DESA / KELURAHAN (MMD)</t>
  </si>
  <si>
    <t>g.</t>
  </si>
  <si>
    <t>PENINGKATAN KAPASITAS KADER POSYANDU BALITA TENTANG GERMAS</t>
  </si>
  <si>
    <t>belanja perjalanan dinas dalam kota</t>
  </si>
  <si>
    <t>h.</t>
  </si>
  <si>
    <t>PEMBINAAN KADER TAMAN POSYANDU TENTANG GERMAS</t>
  </si>
  <si>
    <t>i.</t>
  </si>
  <si>
    <t>Pembinaan Kader Posyandu Tingkat Kecamatan TENTANG GERMAS</t>
  </si>
  <si>
    <t>j.</t>
  </si>
  <si>
    <t>PERTEMUAN POKJA POSYANDU TINGKAT KECAMATAN TENTANG GERMAS</t>
  </si>
  <si>
    <t>k.</t>
  </si>
  <si>
    <t>Peningkatan Kapasitas Kader Tentang Swamedikasi Dan Penggunaan Obat Melalui Metode CBIA</t>
  </si>
  <si>
    <t>5.1.02.02.02.0003</t>
  </si>
  <si>
    <t>belanja honor narasumber</t>
  </si>
  <si>
    <t>Narasumber</t>
  </si>
  <si>
    <t>Pelaksanaan Germas, Aktifitas Fisik, Pemeriksaan Kesehatan Berkala, dan Edukasi Gizi Seimbang di tingkat Kecamatan/ wilayah Puskesmas</t>
  </si>
  <si>
    <t>EDUKASI DAN KONSELING TERKAIT SUPLEMEN GIZI DI SEKOLAH</t>
  </si>
  <si>
    <t>Upaya Kesehatan Olahraga</t>
  </si>
  <si>
    <t>PEMERIKSAAN KEBUGARAN PEGAWAI</t>
  </si>
  <si>
    <t>PEMERIKSAAN KEBUGARAN ANAK SEKOLAH</t>
  </si>
  <si>
    <t>sd</t>
  </si>
  <si>
    <t>PEMERIKSAAN KESEHATAN HAJI</t>
  </si>
  <si>
    <t>Upaya deteksi dini, preventil dan respons penyakit</t>
  </si>
  <si>
    <t>Validasi sasaran, hasil cakupan imunisasi dan Rapid Convinience Assessment (RCA)</t>
  </si>
  <si>
    <t>Validasi Data Imunisasi</t>
  </si>
  <si>
    <t>fotocopy</t>
  </si>
  <si>
    <t>lembar</t>
  </si>
  <si>
    <t>lbr</t>
  </si>
  <si>
    <t>fotocopy warna</t>
  </si>
  <si>
    <t>Pelacakan kasus Kronis atau kasus ikutan atau hasil reaksi minum obat pada Pemberian Obat Pencegah Masal (POPM).</t>
  </si>
  <si>
    <t>PELACAKAN KASUS KECACINGAN</t>
  </si>
  <si>
    <t>Transport petugas faskes</t>
  </si>
  <si>
    <t>Penyelidikan Epidemiologi (PE) penyakit potensi KLB dan penanggulangan KLB.</t>
  </si>
  <si>
    <t>PENYELIDIKAN EPIDEMIOLOGI (PE) PENYAKIT POTENSI KLB DAN PENAGGULANGAN KLB</t>
  </si>
  <si>
    <t>kasus</t>
  </si>
  <si>
    <t>Pelacakan kontak kasus KLB</t>
  </si>
  <si>
    <t>PELACAKAN KONTAK KASUS KLB</t>
  </si>
  <si>
    <t>Validasi sasaran, hasil cakupan GME, Depresi, ODGJ Berat, Penyalahgunaan Napza dan Bunuh Diri</t>
  </si>
  <si>
    <t>Validasi Data Sasaran Orang Dengan Gangguan Jiwa Berat,Napza dan Bunuh Diri</t>
  </si>
  <si>
    <t>Bantuan Transport Kader</t>
  </si>
  <si>
    <t>Deteksi dini kasus HIV/AIDS, TBC, Hepatitis, Malaria dan penyakit menular lainnya pada Ibu hamil dan kelompok berisiko.</t>
  </si>
  <si>
    <t>DETEKSI DINI KASUS TBC PADA IBU HAMIL</t>
  </si>
  <si>
    <t>Penemuan kasus PD3I, kasus kontak TB dan kasus mangkir, kasus kontak kusta serta orang dengan gangguan jiwa serta penyakit lainnya.</t>
  </si>
  <si>
    <t>Penemuan Kasus Kontak TB dan Kasus Mangkir</t>
  </si>
  <si>
    <t>Pelaksanaan pelayanan imunisasi baik imunisasi rutin, pengenalan antigen baru, imunisasi tambahan, maupun kegiatan defaulter tracking.</t>
  </si>
  <si>
    <t>PELAKSANAAN IMUNISASI RUTIN DI POSYANDU</t>
  </si>
  <si>
    <t>Sosialisasi pelaksanaan imunisasi rutin kepada orangtua dan Bulan Imunisasi Anak Sekolah (BIAS) kepada guru dan wali murid.</t>
  </si>
  <si>
    <t>BIAS MR KELAS 1</t>
  </si>
  <si>
    <t>BIAS DT</t>
  </si>
  <si>
    <t>Pemberian Obat Pencegah Masal (POPM) untuk pencegahan penyakit.</t>
  </si>
  <si>
    <t xml:space="preserve">PEMBERIAN OBAT CACING MASAL </t>
  </si>
  <si>
    <t>Pendataan sasaran POPM.</t>
  </si>
  <si>
    <t>KOORDINASI Pendataan Sasaran POPM.</t>
  </si>
  <si>
    <t>Pengambilan obat POPM ke dinas kesehatan kabupaten/kota.</t>
  </si>
  <si>
    <t>PENGAMBILAN OBAT POPM KE DINAS KESEHATAN KABUPATEN / KOTA</t>
  </si>
  <si>
    <t>Pemantauan jentik secara berkala.</t>
  </si>
  <si>
    <t xml:space="preserve">PEMANTAUAN JENTIK SECARA BERKALA </t>
  </si>
  <si>
    <t>Monitoring, bimbingan teknis pelaksanaan kegiatan pos pembinaan terpadu (posbindu) penyakit tidak menular oleh petugas puskesmas.</t>
  </si>
  <si>
    <t>MONITORING DAN BIMBINGAN TEKNIS PELAKSANAAN KEGIATAN POSBINDU PENYAKIT TIDAK MENULAR</t>
  </si>
  <si>
    <t>Pendampingan rujukan kasus gangguan jiwa dan napza</t>
  </si>
  <si>
    <t>PENDAMPINGAN RUJUKAN KASUS GANGGUAN JIWA DAN NAPZA</t>
  </si>
  <si>
    <t>Orientasi/pembekalan/peningkatan kapasitas SDM bagi kader kesehatan untuk peningkatan P2P.</t>
  </si>
  <si>
    <t>ORIENTASI PENINGKATAN KAPASITAS KADER POSBINDU UNTUK PENINGKATAN P2P</t>
  </si>
  <si>
    <t>baner ( pertemuan )</t>
  </si>
  <si>
    <t>PENINGKATAN KAPASITAS SDM BAGI KADER TBC UNTUK PENINGKATAN P2P</t>
  </si>
  <si>
    <t>Pertemuan berkala kader kesehatan untuk P2P.</t>
  </si>
  <si>
    <t>5.1.02.01.01.0024</t>
  </si>
  <si>
    <t>belanja alat/bahan untuk kegiatan kantor-alat tulis kantor</t>
  </si>
  <si>
    <t xml:space="preserve">Kertas HVS  </t>
  </si>
  <si>
    <t>rim</t>
  </si>
  <si>
    <t>Pulpen</t>
  </si>
  <si>
    <t>buah</t>
  </si>
  <si>
    <t>Fotocopy</t>
  </si>
  <si>
    <t>Koordinasi terpadu lintas program/lintas sektor tentang pencegahan dan pengendalian penyakit tingkat puskesmas</t>
  </si>
  <si>
    <t>koordinasi lintas sektor untuk p2p</t>
  </si>
  <si>
    <t>KOORDINASI LINTAS PROGRAM INTERNAL dan EXTERNAL  P2P</t>
  </si>
  <si>
    <t>Penyediaan Tenaga dengan Perjanjian Kerja</t>
  </si>
  <si>
    <t>Penyediaan Tenaga dengan Perjanjian Kerja Puskesmas Jatikalen</t>
  </si>
  <si>
    <t>1.02.03.2.02.02.5.1.02.02.01.0014</t>
  </si>
  <si>
    <t>Belanja Jasa Tenaga Kesehatan</t>
  </si>
  <si>
    <t>Tenaga Administrasi Keuangan</t>
  </si>
  <si>
    <t>Org/Bln</t>
  </si>
  <si>
    <t>org</t>
  </si>
  <si>
    <t>Tenaga Epidemiologi</t>
  </si>
  <si>
    <t>Tenaga Nutrisionis</t>
  </si>
  <si>
    <t>Tenaga Promosi Kesehatan dan Ilmu Perilaku</t>
  </si>
  <si>
    <t>AKSELERASI PROGRAM INDONESIA SEHAT DENGAN PENDEKATAN KELUARGA (PIS-PK)</t>
  </si>
  <si>
    <t xml:space="preserve">Pelaksanaan kunjungan keluarga dan intervensi awal dalam rangka deteksi dini dan pengelolaan masalah kesehatan terintegrasi melalui pendekatan keluarga </t>
  </si>
  <si>
    <t xml:space="preserve">Belanja Transfortasi lokal </t>
  </si>
  <si>
    <t>Org</t>
  </si>
  <si>
    <t>desa</t>
  </si>
  <si>
    <t>tr</t>
  </si>
  <si>
    <t>Kali</t>
  </si>
  <si>
    <t>Pelaksanaan intervensi lanjut termasuk pelayanan keperawatan kesehatan masyarakat (Perkesmas) dalam rangka intervensi hasil PIS-PK</t>
  </si>
  <si>
    <t>Fungsi Manajemen Puskesmas (P1, P2, P3) Lokakarya mini dalam rangka penguatan perencanaan (P1), penggerakan pelaksanaan (P2), pengawasan pengendalian dan penilaian (P3) kinerja Puskesmas serta kegiatan koordinasi lintas sektor lainnya.</t>
  </si>
  <si>
    <t>Lokakarya Mini Bulanan</t>
  </si>
  <si>
    <t>Belanja Konsumsi</t>
  </si>
  <si>
    <t>pt</t>
  </si>
  <si>
    <t>Snack</t>
  </si>
  <si>
    <t>Lokakarya Mini Tribulanan</t>
  </si>
  <si>
    <t>thn</t>
  </si>
  <si>
    <t>UPAYA KESEHATAN LANJUT USIA</t>
  </si>
  <si>
    <t>Pelatihan Caregiver Informal oleh puskesmas</t>
  </si>
  <si>
    <t>PELATIHAN CAREGIVER INFORMAL OLEH PUSKESMAS</t>
  </si>
  <si>
    <t>Bantuan transport petugas faskes</t>
  </si>
  <si>
    <t>PEMERIKSAAN KESEHATAN BERKALA PADA PEGAWAI TINGKAT KECAMATAN WILAYAH PUSKESMAS</t>
  </si>
  <si>
    <t>Pelaksanaan imunisasi BIAN</t>
  </si>
  <si>
    <t>Pelaksanann Sweeping Imunisasi BIAN</t>
  </si>
  <si>
    <t>Pelacakan sasaran DO (deafaultertracking)</t>
  </si>
  <si>
    <t>Koordinasi Pelayanan Kesehatan Peduli Remaja</t>
  </si>
  <si>
    <t>PERTEMUAN KOORDINASI PELAYANAN KESEHATAN PEDULI REMAJA</t>
  </si>
  <si>
    <t>PENYULUHAN MASYARAKAT DALAM UPAYA PERCEPATAN PENURUNAN STUNTING DESA</t>
  </si>
  <si>
    <t>2orgx 11 posy rmj</t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</si>
</sst>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64" formatCode="###0;###0"/>
    <numFmt numFmtId="165" formatCode="_(* #,##0_);_(* \(#,##0\);_(* &quot;-&quot;_);_(@_)"/>
    <numFmt numFmtId="166" formatCode="_-[$Rp-3809]* #,##0_-;\-[$Rp-3809]* #,##0_-;_-[$Rp-3809]* &quot;-&quot;??_-;_-@_-"/>
    <numFmt numFmtId="167" formatCode="_-[$Rp-421]* #,##0_-;\-[$Rp-421]* #,##0_-;_-[$Rp-421]* &quot;-&quot;_-;_-@_-"/>
    <numFmt numFmtId="168" formatCode="_(* #,##0.00_);_(* \(#,##0.00\);_(* &quot;-&quot;??_);_(@_)"/>
    <numFmt numFmtId="169" formatCode="_([$Rp-421]* #,##0_);_([$Rp-421]* \(#,##0\);_([$Rp-421]* &quot;-&quot;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</font>
    <font>
      <sz val="7"/>
      <name val="Arial"/>
      <family val="2"/>
    </font>
    <font>
      <b/>
      <i/>
      <sz val="7"/>
      <name val="Arial"/>
      <family val="2"/>
    </font>
    <font>
      <b/>
      <sz val="7"/>
      <name val="Arial"/>
      <family val="2"/>
    </font>
    <font>
      <sz val="7"/>
      <name val="Calibri"/>
      <family val="2"/>
      <scheme val="minor"/>
    </font>
    <font>
      <b/>
      <i/>
      <sz val="7"/>
      <name val="Calibri"/>
      <family val="2"/>
      <scheme val="minor"/>
    </font>
    <font>
      <sz val="10"/>
      <name val="Arial"/>
      <family val="2"/>
    </font>
    <font>
      <i/>
      <sz val="7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  <font>
      <i/>
      <sz val="7"/>
      <name val="Calibri"/>
      <family val="2"/>
      <scheme val="minor"/>
    </font>
    <font>
      <sz val="10"/>
      <color indexed="8"/>
      <name val="Arial"/>
      <family val="2"/>
    </font>
    <font>
      <b/>
      <sz val="7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5B9BD4"/>
      </patternFill>
    </fill>
    <fill>
      <patternFill patternType="solid">
        <fgColor rgb="FF9BC2E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4">
    <xf numFmtId="0" fontId="0" fillId="0" borderId="0"/>
    <xf numFmtId="41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0" fillId="0" borderId="0"/>
    <xf numFmtId="41" fontId="2" fillId="0" borderId="0" applyFont="0" applyFill="0" applyBorder="0" applyAlignment="0" applyProtection="0"/>
    <xf numFmtId="0" fontId="12" fillId="0" borderId="0">
      <protection locked="0"/>
    </xf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5" fillId="0" borderId="0">
      <alignment vertical="top"/>
    </xf>
    <xf numFmtId="165" fontId="10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406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4" fillId="0" borderId="0" xfId="2" applyFont="1"/>
    <xf numFmtId="0" fontId="5" fillId="2" borderId="11" xfId="2" applyFont="1" applyFill="1" applyBorder="1" applyAlignment="1">
      <alignment horizontal="center" vertical="top" wrapText="1"/>
    </xf>
    <xf numFmtId="0" fontId="5" fillId="2" borderId="11" xfId="2" applyFont="1" applyFill="1" applyBorder="1" applyAlignment="1">
      <alignment horizontal="center" vertical="top"/>
    </xf>
    <xf numFmtId="41" fontId="7" fillId="3" borderId="11" xfId="2" applyNumberFormat="1" applyFont="1" applyFill="1" applyBorder="1" applyAlignment="1">
      <alignment horizontal="left" vertical="top"/>
    </xf>
    <xf numFmtId="0" fontId="8" fillId="4" borderId="11" xfId="2" applyFont="1" applyFill="1" applyBorder="1" applyAlignment="1">
      <alignment horizontal="center" vertical="top"/>
    </xf>
    <xf numFmtId="0" fontId="8" fillId="4" borderId="11" xfId="2" applyFont="1" applyFill="1" applyBorder="1" applyAlignment="1">
      <alignment horizontal="left" vertical="top"/>
    </xf>
    <xf numFmtId="41" fontId="9" fillId="4" borderId="11" xfId="1" applyFont="1" applyFill="1" applyBorder="1" applyAlignment="1">
      <alignment horizontal="left" vertical="top"/>
    </xf>
    <xf numFmtId="0" fontId="8" fillId="5" borderId="11" xfId="2" applyFont="1" applyFill="1" applyBorder="1" applyAlignment="1">
      <alignment horizontal="left" vertical="top"/>
    </xf>
    <xf numFmtId="0" fontId="8" fillId="5" borderId="11" xfId="2" applyFont="1" applyFill="1" applyBorder="1" applyAlignment="1">
      <alignment horizontal="left" vertical="top" wrapText="1"/>
    </xf>
    <xf numFmtId="3" fontId="8" fillId="5" borderId="11" xfId="2" applyNumberFormat="1" applyFont="1" applyFill="1" applyBorder="1" applyAlignment="1">
      <alignment horizontal="left" vertical="top" wrapText="1"/>
    </xf>
    <xf numFmtId="41" fontId="8" fillId="5" borderId="11" xfId="1" applyFont="1" applyFill="1" applyBorder="1" applyAlignment="1">
      <alignment horizontal="left" vertical="top" wrapText="1"/>
    </xf>
    <xf numFmtId="0" fontId="8" fillId="0" borderId="11" xfId="2" applyFont="1" applyBorder="1" applyAlignment="1">
      <alignment horizontal="left" vertical="top"/>
    </xf>
    <xf numFmtId="0" fontId="8" fillId="6" borderId="12" xfId="3" applyFont="1" applyFill="1" applyBorder="1" applyAlignment="1">
      <alignment horizontal="left" vertical="top" wrapText="1"/>
    </xf>
    <xf numFmtId="0" fontId="8" fillId="6" borderId="11" xfId="2" applyFont="1" applyFill="1" applyBorder="1" applyAlignment="1">
      <alignment horizontal="left" vertical="top"/>
    </xf>
    <xf numFmtId="0" fontId="8" fillId="6" borderId="11" xfId="2" applyFont="1" applyFill="1" applyBorder="1" applyAlignment="1">
      <alignment horizontal="left" vertical="top" wrapText="1"/>
    </xf>
    <xf numFmtId="41" fontId="8" fillId="6" borderId="11" xfId="1" applyFont="1" applyFill="1" applyBorder="1" applyAlignment="1">
      <alignment horizontal="left" vertical="top" wrapText="1"/>
    </xf>
    <xf numFmtId="41" fontId="8" fillId="6" borderId="11" xfId="1" applyFont="1" applyFill="1" applyBorder="1" applyAlignment="1">
      <alignment horizontal="left" vertical="top"/>
    </xf>
    <xf numFmtId="0" fontId="8" fillId="0" borderId="12" xfId="4" applyFont="1" applyBorder="1" applyAlignment="1">
      <alignment horizontal="left" vertical="top"/>
    </xf>
    <xf numFmtId="41" fontId="8" fillId="0" borderId="11" xfId="1" applyFont="1" applyBorder="1" applyAlignment="1">
      <alignment horizontal="left" vertical="top"/>
    </xf>
    <xf numFmtId="0" fontId="8" fillId="6" borderId="12" xfId="3" applyFont="1" applyFill="1" applyBorder="1" applyAlignment="1">
      <alignment horizontal="left" vertical="top"/>
    </xf>
    <xf numFmtId="0" fontId="8" fillId="0" borderId="11" xfId="2" applyFont="1" applyBorder="1" applyAlignment="1">
      <alignment horizontal="left" vertical="top" wrapText="1"/>
    </xf>
    <xf numFmtId="0" fontId="8" fillId="0" borderId="1" xfId="2" applyFont="1" applyBorder="1" applyAlignment="1">
      <alignment horizontal="left" vertical="top"/>
    </xf>
    <xf numFmtId="20" fontId="8" fillId="5" borderId="5" xfId="2" quotePrefix="1" applyNumberFormat="1" applyFont="1" applyFill="1" applyBorder="1" applyAlignment="1">
      <alignment horizontal="left" vertical="top"/>
    </xf>
    <xf numFmtId="0" fontId="8" fillId="5" borderId="6" xfId="2" applyFont="1" applyFill="1" applyBorder="1" applyAlignment="1">
      <alignment vertical="top"/>
    </xf>
    <xf numFmtId="41" fontId="8" fillId="5" borderId="11" xfId="1" applyFont="1" applyFill="1" applyBorder="1" applyAlignment="1">
      <alignment horizontal="left" vertical="top"/>
    </xf>
    <xf numFmtId="0" fontId="8" fillId="0" borderId="7" xfId="2" applyFont="1" applyBorder="1" applyAlignment="1">
      <alignment horizontal="left" vertical="top"/>
    </xf>
    <xf numFmtId="0" fontId="8" fillId="0" borderId="12" xfId="3" applyFont="1" applyFill="1" applyBorder="1" applyAlignment="1">
      <alignment vertical="top"/>
    </xf>
    <xf numFmtId="0" fontId="8" fillId="5" borderId="5" xfId="2" quotePrefix="1" applyFont="1" applyFill="1" applyBorder="1" applyAlignment="1">
      <alignment horizontal="left" vertical="top"/>
    </xf>
    <xf numFmtId="0" fontId="8" fillId="5" borderId="11" xfId="2" applyFont="1" applyFill="1" applyBorder="1" applyAlignment="1">
      <alignment vertical="top"/>
    </xf>
    <xf numFmtId="41" fontId="8" fillId="5" borderId="11" xfId="1" applyFont="1" applyFill="1" applyBorder="1" applyAlignment="1">
      <alignment vertical="top"/>
    </xf>
    <xf numFmtId="0" fontId="8" fillId="0" borderId="7" xfId="2" applyFont="1" applyBorder="1" applyAlignment="1">
      <alignment vertical="top"/>
    </xf>
    <xf numFmtId="0" fontId="8" fillId="0" borderId="12" xfId="4" applyFont="1" applyFill="1" applyBorder="1" applyAlignment="1">
      <alignment vertical="top" wrapText="1"/>
    </xf>
    <xf numFmtId="0" fontId="8" fillId="6" borderId="11" xfId="2" applyFont="1" applyFill="1" applyBorder="1" applyAlignment="1">
      <alignment vertical="top"/>
    </xf>
    <xf numFmtId="0" fontId="8" fillId="6" borderId="11" xfId="2" applyFont="1" applyFill="1" applyBorder="1" applyAlignment="1">
      <alignment vertical="top" wrapText="1"/>
    </xf>
    <xf numFmtId="41" fontId="8" fillId="6" borderId="11" xfId="1" applyFont="1" applyFill="1" applyBorder="1" applyAlignment="1">
      <alignment vertical="top" wrapText="1"/>
    </xf>
    <xf numFmtId="41" fontId="8" fillId="6" borderId="11" xfId="1" applyFont="1" applyFill="1" applyBorder="1" applyAlignment="1">
      <alignment vertical="top"/>
    </xf>
    <xf numFmtId="0" fontId="8" fillId="0" borderId="5" xfId="2" applyFont="1" applyBorder="1" applyAlignment="1">
      <alignment vertical="top"/>
    </xf>
    <xf numFmtId="0" fontId="8" fillId="0" borderId="12" xfId="4" applyFont="1" applyBorder="1" applyAlignment="1">
      <alignment vertical="top" wrapText="1"/>
    </xf>
    <xf numFmtId="0" fontId="8" fillId="0" borderId="11" xfId="2" applyFont="1" applyBorder="1" applyAlignment="1">
      <alignment vertical="top"/>
    </xf>
    <xf numFmtId="0" fontId="8" fillId="0" borderId="11" xfId="2" applyFont="1" applyBorder="1" applyAlignment="1">
      <alignment vertical="top" wrapText="1"/>
    </xf>
    <xf numFmtId="0" fontId="8" fillId="0" borderId="5" xfId="2" applyFont="1" applyBorder="1" applyAlignment="1">
      <alignment horizontal="left" vertical="top"/>
    </xf>
    <xf numFmtId="0" fontId="8" fillId="0" borderId="2" xfId="2" applyFont="1" applyBorder="1" applyAlignment="1">
      <alignment horizontal="left" vertical="top"/>
    </xf>
    <xf numFmtId="0" fontId="8" fillId="0" borderId="15" xfId="2" applyFont="1" applyBorder="1" applyAlignment="1">
      <alignment horizontal="left" vertical="top"/>
    </xf>
    <xf numFmtId="0" fontId="8" fillId="5" borderId="6" xfId="2" applyFont="1" applyFill="1" applyBorder="1" applyAlignment="1">
      <alignment horizontal="left" vertical="top"/>
    </xf>
    <xf numFmtId="0" fontId="8" fillId="0" borderId="8" xfId="2" applyFont="1" applyBorder="1" applyAlignment="1">
      <alignment horizontal="left" vertical="top"/>
    </xf>
    <xf numFmtId="0" fontId="8" fillId="6" borderId="11" xfId="2" applyFont="1" applyFill="1" applyBorder="1" applyAlignment="1">
      <alignment horizontal="center" vertical="top"/>
    </xf>
    <xf numFmtId="0" fontId="8" fillId="0" borderId="12" xfId="4" applyFont="1" applyBorder="1" applyAlignment="1">
      <alignment horizontal="left" vertical="top" wrapText="1"/>
    </xf>
    <xf numFmtId="0" fontId="8" fillId="0" borderId="12" xfId="2" applyFont="1" applyBorder="1" applyAlignment="1">
      <alignment horizontal="left" vertical="top"/>
    </xf>
    <xf numFmtId="0" fontId="8" fillId="6" borderId="6" xfId="2" applyFont="1" applyFill="1" applyBorder="1" applyAlignment="1">
      <alignment horizontal="left" vertical="top"/>
    </xf>
    <xf numFmtId="0" fontId="8" fillId="6" borderId="12" xfId="3" applyFont="1" applyFill="1" applyBorder="1" applyAlignment="1">
      <alignment vertical="top" wrapText="1"/>
    </xf>
    <xf numFmtId="0" fontId="7" fillId="4" borderId="12" xfId="5" applyFont="1" applyFill="1" applyBorder="1" applyAlignment="1" applyProtection="1">
      <alignment horizontal="right" vertical="top"/>
    </xf>
    <xf numFmtId="0" fontId="5" fillId="4" borderId="12" xfId="5" applyFont="1" applyFill="1" applyBorder="1" applyAlignment="1" applyProtection="1">
      <alignment horizontal="left" vertical="top"/>
    </xf>
    <xf numFmtId="41" fontId="7" fillId="4" borderId="12" xfId="5" applyNumberFormat="1" applyFont="1" applyFill="1" applyBorder="1" applyAlignment="1" applyProtection="1">
      <alignment horizontal="left" vertical="top"/>
    </xf>
    <xf numFmtId="0" fontId="5" fillId="0" borderId="12" xfId="5" applyFont="1" applyBorder="1" applyAlignment="1" applyProtection="1">
      <alignment horizontal="left" vertical="top"/>
    </xf>
    <xf numFmtId="0" fontId="11" fillId="0" borderId="12" xfId="5" applyFont="1" applyBorder="1" applyAlignment="1" applyProtection="1">
      <alignment horizontal="left" vertical="top" wrapText="1"/>
    </xf>
    <xf numFmtId="0" fontId="5" fillId="0" borderId="12" xfId="5" applyFont="1" applyBorder="1" applyAlignment="1" applyProtection="1">
      <alignment horizontal="left" vertical="top"/>
      <protection locked="0"/>
    </xf>
    <xf numFmtId="0" fontId="5" fillId="0" borderId="12" xfId="5" applyFont="1" applyBorder="1" applyAlignment="1" applyProtection="1">
      <alignment horizontal="left" vertical="top" wrapText="1"/>
      <protection locked="0"/>
    </xf>
    <xf numFmtId="41" fontId="5" fillId="0" borderId="12" xfId="1" applyFont="1" applyBorder="1" applyAlignment="1" applyProtection="1">
      <alignment horizontal="left" vertical="top" wrapText="1"/>
      <protection locked="0"/>
    </xf>
    <xf numFmtId="41" fontId="7" fillId="0" borderId="12" xfId="6" applyFont="1" applyBorder="1" applyAlignment="1" applyProtection="1">
      <alignment horizontal="left" vertical="top" wrapText="1"/>
      <protection locked="0"/>
    </xf>
    <xf numFmtId="0" fontId="5" fillId="0" borderId="12" xfId="7" applyFont="1" applyFill="1" applyBorder="1" applyAlignment="1" applyProtection="1">
      <alignment vertical="top" wrapText="1"/>
      <protection locked="0"/>
    </xf>
    <xf numFmtId="41" fontId="5" fillId="0" borderId="12" xfId="1" applyFont="1" applyBorder="1" applyAlignment="1" applyProtection="1">
      <alignment horizontal="left" vertical="top"/>
      <protection locked="0"/>
    </xf>
    <xf numFmtId="0" fontId="8" fillId="6" borderId="12" xfId="8" applyFont="1" applyFill="1" applyBorder="1" applyAlignment="1">
      <alignment vertical="top" wrapText="1"/>
    </xf>
    <xf numFmtId="0" fontId="5" fillId="6" borderId="12" xfId="2" applyFont="1" applyFill="1" applyBorder="1" applyAlignment="1">
      <alignment horizontal="left" vertical="top"/>
    </xf>
    <xf numFmtId="0" fontId="5" fillId="6" borderId="12" xfId="2" applyFont="1" applyFill="1" applyBorder="1" applyAlignment="1" applyProtection="1">
      <alignment horizontal="left" vertical="top"/>
      <protection locked="0"/>
    </xf>
    <xf numFmtId="0" fontId="5" fillId="6" borderId="12" xfId="2" applyFont="1" applyFill="1" applyBorder="1" applyAlignment="1" applyProtection="1">
      <alignment horizontal="left" vertical="top" wrapText="1"/>
      <protection locked="0"/>
    </xf>
    <xf numFmtId="0" fontId="8" fillId="6" borderId="12" xfId="8" applyFont="1" applyFill="1" applyBorder="1" applyAlignment="1">
      <alignment horizontal="left" vertical="top" wrapText="1"/>
    </xf>
    <xf numFmtId="0" fontId="5" fillId="0" borderId="12" xfId="2" applyFont="1" applyBorder="1" applyAlignment="1">
      <alignment horizontal="left" vertical="top"/>
    </xf>
    <xf numFmtId="0" fontId="5" fillId="0" borderId="12" xfId="2" applyFont="1" applyBorder="1" applyAlignment="1" applyProtection="1">
      <alignment horizontal="left" vertical="top" wrapText="1"/>
      <protection locked="0"/>
    </xf>
    <xf numFmtId="0" fontId="5" fillId="0" borderId="12" xfId="2" applyFont="1" applyBorder="1" applyAlignment="1" applyProtection="1">
      <alignment horizontal="left" vertical="top"/>
      <protection locked="0"/>
    </xf>
    <xf numFmtId="41" fontId="5" fillId="6" borderId="12" xfId="1" applyFont="1" applyFill="1" applyBorder="1" applyAlignment="1" applyProtection="1">
      <alignment horizontal="left" vertical="top" wrapText="1"/>
      <protection locked="0"/>
    </xf>
    <xf numFmtId="41" fontId="5" fillId="6" borderId="12" xfId="1" applyFont="1" applyFill="1" applyBorder="1" applyAlignment="1" applyProtection="1">
      <alignment horizontal="left" vertical="top"/>
      <protection locked="0"/>
    </xf>
    <xf numFmtId="0" fontId="5" fillId="0" borderId="12" xfId="2" applyFont="1" applyBorder="1" applyAlignment="1">
      <alignment horizontal="left" vertical="top" wrapText="1"/>
    </xf>
    <xf numFmtId="0" fontId="5" fillId="6" borderId="12" xfId="9" applyFont="1" applyFill="1" applyBorder="1" applyAlignment="1" applyProtection="1">
      <alignment horizontal="left" vertical="center" wrapText="1"/>
      <protection locked="0"/>
    </xf>
    <xf numFmtId="0" fontId="8" fillId="6" borderId="12" xfId="8" applyFont="1" applyFill="1" applyBorder="1" applyAlignment="1">
      <alignment horizontal="left" vertical="center" wrapText="1"/>
    </xf>
    <xf numFmtId="0" fontId="5" fillId="0" borderId="12" xfId="5" applyFont="1" applyBorder="1" applyAlignment="1" applyProtection="1">
      <alignment horizontal="left" vertical="top"/>
      <protection locked="0"/>
    </xf>
    <xf numFmtId="41" fontId="7" fillId="0" borderId="12" xfId="6" applyFont="1" applyBorder="1" applyAlignment="1" applyProtection="1">
      <alignment horizontal="left" vertical="top"/>
      <protection locked="0"/>
    </xf>
    <xf numFmtId="0" fontId="5" fillId="0" borderId="11" xfId="5" applyFont="1" applyBorder="1" applyAlignment="1" applyProtection="1">
      <alignment horizontal="left" vertical="top"/>
    </xf>
    <xf numFmtId="0" fontId="5" fillId="0" borderId="11" xfId="5" applyFont="1" applyBorder="1" applyAlignment="1" applyProtection="1">
      <alignment horizontal="left" vertical="top"/>
      <protection locked="0"/>
    </xf>
    <xf numFmtId="0" fontId="5" fillId="0" borderId="11" xfId="5" applyFont="1" applyBorder="1" applyAlignment="1" applyProtection="1">
      <alignment horizontal="left" vertical="top" wrapText="1"/>
      <protection locked="0"/>
    </xf>
    <xf numFmtId="41" fontId="5" fillId="0" borderId="11" xfId="1" applyFont="1" applyBorder="1" applyAlignment="1" applyProtection="1">
      <alignment horizontal="left" vertical="top"/>
      <protection locked="0"/>
    </xf>
    <xf numFmtId="41" fontId="7" fillId="0" borderId="11" xfId="6" applyFont="1" applyBorder="1" applyAlignment="1" applyProtection="1">
      <alignment horizontal="left" vertical="top"/>
      <protection locked="0"/>
    </xf>
    <xf numFmtId="0" fontId="13" fillId="0" borderId="11" xfId="5" applyFont="1" applyBorder="1" applyAlignment="1" applyProtection="1">
      <alignment horizontal="left" vertical="top"/>
    </xf>
    <xf numFmtId="0" fontId="5" fillId="0" borderId="5" xfId="5" applyFont="1" applyBorder="1" applyAlignment="1" applyProtection="1">
      <alignment horizontal="left" vertical="top"/>
    </xf>
    <xf numFmtId="0" fontId="5" fillId="0" borderId="12" xfId="5" applyFont="1" applyBorder="1" applyAlignment="1" applyProtection="1">
      <alignment horizontal="justify" vertical="top"/>
    </xf>
    <xf numFmtId="0" fontId="8" fillId="6" borderId="11" xfId="2" applyFont="1" applyFill="1" applyBorder="1" applyAlignment="1" applyProtection="1">
      <alignment horizontal="left" vertical="top"/>
      <protection locked="0"/>
    </xf>
    <xf numFmtId="0" fontId="8" fillId="6" borderId="11" xfId="2" applyFont="1" applyFill="1" applyBorder="1" applyAlignment="1" applyProtection="1">
      <alignment horizontal="left" vertical="top" wrapText="1"/>
      <protection locked="0"/>
    </xf>
    <xf numFmtId="41" fontId="8" fillId="6" borderId="11" xfId="1" applyFont="1" applyFill="1" applyBorder="1" applyAlignment="1" applyProtection="1">
      <alignment horizontal="left" vertical="top" wrapText="1"/>
      <protection locked="0"/>
    </xf>
    <xf numFmtId="41" fontId="8" fillId="6" borderId="11" xfId="1" applyFont="1" applyFill="1" applyBorder="1" applyAlignment="1" applyProtection="1">
      <alignment horizontal="left" vertical="top"/>
      <protection locked="0"/>
    </xf>
    <xf numFmtId="0" fontId="8" fillId="0" borderId="11" xfId="2" applyFont="1" applyBorder="1" applyAlignment="1" applyProtection="1">
      <alignment horizontal="left" vertical="top" wrapText="1"/>
      <protection locked="0"/>
    </xf>
    <xf numFmtId="0" fontId="5" fillId="0" borderId="12" xfId="7" applyFont="1" applyFill="1" applyBorder="1" applyAlignment="1" applyProtection="1">
      <alignment vertical="top" wrapText="1"/>
    </xf>
    <xf numFmtId="0" fontId="13" fillId="0" borderId="11" xfId="5" applyFont="1" applyBorder="1" applyAlignment="1" applyProtection="1">
      <alignment horizontal="left" vertical="top"/>
      <protection locked="0"/>
    </xf>
    <xf numFmtId="0" fontId="8" fillId="0" borderId="11" xfId="2" applyFont="1" applyBorder="1" applyAlignment="1" applyProtection="1">
      <alignment horizontal="left" vertical="top"/>
      <protection locked="0"/>
    </xf>
    <xf numFmtId="0" fontId="8" fillId="6" borderId="6" xfId="2" applyFont="1" applyFill="1" applyBorder="1" applyAlignment="1" applyProtection="1">
      <alignment horizontal="left" vertical="top"/>
      <protection locked="0"/>
    </xf>
    <xf numFmtId="0" fontId="7" fillId="7" borderId="12" xfId="2" applyFont="1" applyFill="1" applyBorder="1" applyAlignment="1">
      <alignment horizontal="right" vertical="top"/>
    </xf>
    <xf numFmtId="0" fontId="7" fillId="7" borderId="12" xfId="4" applyFont="1" applyFill="1" applyBorder="1" applyAlignment="1">
      <alignment vertical="justify"/>
    </xf>
    <xf numFmtId="41" fontId="8" fillId="7" borderId="12" xfId="1" applyFont="1" applyFill="1" applyBorder="1" applyAlignment="1">
      <alignment horizontal="left" vertical="top" wrapText="1"/>
    </xf>
    <xf numFmtId="0" fontId="8" fillId="8" borderId="7" xfId="2" applyFont="1" applyFill="1" applyBorder="1" applyAlignment="1">
      <alignment horizontal="left" vertical="top"/>
    </xf>
    <xf numFmtId="0" fontId="14" fillId="8" borderId="7" xfId="2" quotePrefix="1" applyFont="1" applyFill="1" applyBorder="1" applyAlignment="1">
      <alignment horizontal="left" vertical="top" wrapText="1"/>
    </xf>
    <xf numFmtId="0" fontId="8" fillId="8" borderId="10" xfId="2" applyFont="1" applyFill="1" applyBorder="1" applyAlignment="1">
      <alignment horizontal="left" vertical="top" wrapText="1"/>
    </xf>
    <xf numFmtId="0" fontId="8" fillId="8" borderId="7" xfId="2" applyFont="1" applyFill="1" applyBorder="1" applyAlignment="1">
      <alignment horizontal="left" vertical="top" wrapText="1"/>
    </xf>
    <xf numFmtId="41" fontId="8" fillId="8" borderId="7" xfId="1" applyFont="1" applyFill="1" applyBorder="1" applyAlignment="1">
      <alignment horizontal="right" vertical="top" wrapText="1"/>
    </xf>
    <xf numFmtId="0" fontId="14" fillId="0" borderId="11" xfId="2" applyFont="1" applyBorder="1" applyAlignment="1">
      <alignment horizontal="left" vertical="top" wrapText="1"/>
    </xf>
    <xf numFmtId="41" fontId="8" fillId="6" borderId="11" xfId="1" applyFont="1" applyFill="1" applyBorder="1" applyAlignment="1">
      <alignment horizontal="right" vertical="top" wrapText="1"/>
    </xf>
    <xf numFmtId="41" fontId="8" fillId="6" borderId="11" xfId="1" applyFont="1" applyFill="1" applyBorder="1" applyAlignment="1">
      <alignment horizontal="right" vertical="top"/>
    </xf>
    <xf numFmtId="41" fontId="8" fillId="0" borderId="11" xfId="1" applyFont="1" applyBorder="1" applyAlignment="1">
      <alignment horizontal="right" vertical="top" wrapText="1"/>
    </xf>
    <xf numFmtId="0" fontId="8" fillId="0" borderId="12" xfId="4" applyFont="1" applyFill="1" applyBorder="1" applyAlignment="1">
      <alignment horizontal="left" vertical="top" wrapText="1"/>
    </xf>
    <xf numFmtId="0" fontId="8" fillId="8" borderId="12" xfId="2" applyFont="1" applyFill="1" applyBorder="1" applyAlignment="1">
      <alignment horizontal="left" vertical="top"/>
    </xf>
    <xf numFmtId="0" fontId="14" fillId="8" borderId="12" xfId="2" quotePrefix="1" applyFont="1" applyFill="1" applyBorder="1" applyAlignment="1">
      <alignment horizontal="left" vertical="top" wrapText="1"/>
    </xf>
    <xf numFmtId="0" fontId="8" fillId="8" borderId="12" xfId="2" applyFont="1" applyFill="1" applyBorder="1" applyAlignment="1">
      <alignment horizontal="left" vertical="top" wrapText="1"/>
    </xf>
    <xf numFmtId="41" fontId="8" fillId="8" borderId="12" xfId="1" applyFont="1" applyFill="1" applyBorder="1" applyAlignment="1">
      <alignment horizontal="right" vertical="top" wrapText="1"/>
    </xf>
    <xf numFmtId="0" fontId="14" fillId="0" borderId="7" xfId="2" applyFont="1" applyBorder="1" applyAlignment="1">
      <alignment horizontal="left" vertical="top" wrapText="1"/>
    </xf>
    <xf numFmtId="0" fontId="8" fillId="0" borderId="21" xfId="4" applyFont="1" applyBorder="1" applyAlignment="1">
      <alignment horizontal="left" vertical="top" wrapText="1"/>
    </xf>
    <xf numFmtId="0" fontId="8" fillId="6" borderId="7" xfId="2" applyFont="1" applyFill="1" applyBorder="1" applyAlignment="1">
      <alignment horizontal="left" vertical="top"/>
    </xf>
    <xf numFmtId="0" fontId="8" fillId="6" borderId="7" xfId="2" applyFont="1" applyFill="1" applyBorder="1" applyAlignment="1">
      <alignment horizontal="left" vertical="top" wrapText="1"/>
    </xf>
    <xf numFmtId="41" fontId="8" fillId="6" borderId="7" xfId="1" applyFont="1" applyFill="1" applyBorder="1" applyAlignment="1">
      <alignment horizontal="right" vertical="top" wrapText="1"/>
    </xf>
    <xf numFmtId="41" fontId="8" fillId="6" borderId="7" xfId="1" applyFont="1" applyFill="1" applyBorder="1" applyAlignment="1">
      <alignment horizontal="right" vertical="top"/>
    </xf>
    <xf numFmtId="41" fontId="8" fillId="0" borderId="7" xfId="1" applyFont="1" applyBorder="1" applyAlignment="1">
      <alignment horizontal="right" vertical="top" wrapText="1"/>
    </xf>
    <xf numFmtId="0" fontId="8" fillId="8" borderId="11" xfId="2" applyFont="1" applyFill="1" applyBorder="1" applyAlignment="1">
      <alignment horizontal="left" vertical="top"/>
    </xf>
    <xf numFmtId="0" fontId="14" fillId="8" borderId="5" xfId="2" quotePrefix="1" applyFont="1" applyFill="1" applyBorder="1" applyAlignment="1">
      <alignment horizontal="left" vertical="top" wrapText="1"/>
    </xf>
    <xf numFmtId="0" fontId="8" fillId="8" borderId="6" xfId="2" applyFont="1" applyFill="1" applyBorder="1" applyAlignment="1">
      <alignment horizontal="left" vertical="top" wrapText="1"/>
    </xf>
    <xf numFmtId="0" fontId="8" fillId="8" borderId="11" xfId="2" applyFont="1" applyFill="1" applyBorder="1" applyAlignment="1">
      <alignment horizontal="left" vertical="top" wrapText="1"/>
    </xf>
    <xf numFmtId="41" fontId="8" fillId="8" borderId="11" xfId="1" applyFont="1" applyFill="1" applyBorder="1" applyAlignment="1">
      <alignment horizontal="right" vertical="top" wrapText="1"/>
    </xf>
    <xf numFmtId="0" fontId="8" fillId="0" borderId="12" xfId="4" applyFont="1" applyFill="1" applyBorder="1" applyAlignment="1">
      <alignment vertical="top"/>
    </xf>
    <xf numFmtId="0" fontId="7" fillId="4" borderId="11" xfId="5" applyFont="1" applyFill="1" applyBorder="1" applyAlignment="1">
      <alignment horizontal="right" vertical="top"/>
    </xf>
    <xf numFmtId="0" fontId="6" fillId="4" borderId="11" xfId="5" applyFont="1" applyFill="1" applyBorder="1" applyAlignment="1">
      <alignment vertical="top"/>
    </xf>
    <xf numFmtId="0" fontId="7" fillId="4" borderId="11" xfId="5" applyFont="1" applyFill="1" applyBorder="1" applyAlignment="1">
      <alignment vertical="top"/>
    </xf>
    <xf numFmtId="0" fontId="7" fillId="4" borderId="11" xfId="5" applyFont="1" applyFill="1" applyBorder="1" applyAlignment="1">
      <alignment horizontal="left" vertical="top"/>
    </xf>
    <xf numFmtId="41" fontId="7" fillId="4" borderId="11" xfId="5" applyNumberFormat="1" applyFont="1" applyFill="1" applyBorder="1" applyAlignment="1">
      <alignment horizontal="left" vertical="top"/>
    </xf>
    <xf numFmtId="0" fontId="5" fillId="0" borderId="11" xfId="5" applyFont="1" applyBorder="1" applyAlignment="1">
      <alignment horizontal="left" vertical="top"/>
    </xf>
    <xf numFmtId="0" fontId="5" fillId="0" borderId="10" xfId="5" applyFont="1" applyBorder="1" applyAlignment="1" applyProtection="1">
      <alignment horizontal="left" vertical="top" wrapText="1"/>
      <protection locked="0"/>
    </xf>
    <xf numFmtId="0" fontId="5" fillId="0" borderId="7" xfId="5" applyFont="1" applyBorder="1" applyAlignment="1" applyProtection="1">
      <alignment horizontal="left" vertical="top" wrapText="1"/>
      <protection locked="0"/>
    </xf>
    <xf numFmtId="0" fontId="5" fillId="0" borderId="7" xfId="5" applyFont="1" applyBorder="1" applyAlignment="1" applyProtection="1">
      <alignment horizontal="left" vertical="top"/>
      <protection locked="0"/>
    </xf>
    <xf numFmtId="41" fontId="5" fillId="5" borderId="11" xfId="5" applyNumberFormat="1" applyFont="1" applyFill="1" applyBorder="1" applyAlignment="1" applyProtection="1">
      <alignment horizontal="right" vertical="top" wrapText="1"/>
      <protection locked="0"/>
    </xf>
    <xf numFmtId="0" fontId="5" fillId="0" borderId="10" xfId="2" applyFont="1" applyBorder="1" applyAlignment="1" applyProtection="1">
      <alignment horizontal="left" vertical="top" wrapText="1"/>
      <protection locked="0"/>
    </xf>
    <xf numFmtId="0" fontId="5" fillId="0" borderId="11" xfId="2" applyFont="1" applyBorder="1" applyAlignment="1">
      <alignment horizontal="left" vertical="top"/>
    </xf>
    <xf numFmtId="0" fontId="5" fillId="0" borderId="7" xfId="2" applyFont="1" applyBorder="1" applyAlignment="1" applyProtection="1">
      <alignment horizontal="left" vertical="top"/>
      <protection locked="0"/>
    </xf>
    <xf numFmtId="41" fontId="5" fillId="6" borderId="7" xfId="10" applyFont="1" applyFill="1" applyBorder="1" applyAlignment="1" applyProtection="1">
      <alignment horizontal="left" vertical="top" wrapText="1"/>
      <protection locked="0"/>
    </xf>
    <xf numFmtId="41" fontId="5" fillId="6" borderId="7" xfId="10" applyFont="1" applyFill="1" applyBorder="1" applyAlignment="1" applyProtection="1">
      <alignment horizontal="left" vertical="top"/>
      <protection locked="0"/>
    </xf>
    <xf numFmtId="41" fontId="5" fillId="0" borderId="11" xfId="5" applyNumberFormat="1" applyFont="1" applyBorder="1" applyAlignment="1" applyProtection="1">
      <alignment horizontal="right" vertical="top" wrapText="1"/>
      <protection locked="0"/>
    </xf>
    <xf numFmtId="0" fontId="5" fillId="0" borderId="5" xfId="5" applyFont="1" applyBorder="1" applyAlignment="1" applyProtection="1">
      <alignment horizontal="left" vertical="top" wrapText="1"/>
      <protection locked="0"/>
    </xf>
    <xf numFmtId="0" fontId="5" fillId="0" borderId="23" xfId="5" applyFont="1" applyBorder="1" applyAlignment="1" applyProtection="1">
      <alignment horizontal="left" vertical="top" wrapText="1"/>
      <protection locked="0"/>
    </xf>
    <xf numFmtId="0" fontId="5" fillId="0" borderId="6" xfId="2" applyFont="1" applyBorder="1" applyAlignment="1" applyProtection="1">
      <alignment horizontal="left" vertical="top" wrapText="1"/>
      <protection locked="0"/>
    </xf>
    <xf numFmtId="0" fontId="5" fillId="0" borderId="11" xfId="2" applyFont="1" applyBorder="1" applyAlignment="1">
      <alignment horizontal="left" vertical="top" wrapText="1"/>
    </xf>
    <xf numFmtId="0" fontId="5" fillId="0" borderId="11" xfId="2" applyFont="1" applyBorder="1" applyAlignment="1" applyProtection="1">
      <alignment horizontal="left" vertical="top"/>
      <protection locked="0"/>
    </xf>
    <xf numFmtId="41" fontId="5" fillId="6" borderId="11" xfId="10" applyFont="1" applyFill="1" applyBorder="1" applyAlignment="1" applyProtection="1">
      <alignment horizontal="left" vertical="top" wrapText="1"/>
      <protection locked="0"/>
    </xf>
    <xf numFmtId="41" fontId="5" fillId="6" borderId="11" xfId="10" applyFont="1" applyFill="1" applyBorder="1" applyAlignment="1" applyProtection="1">
      <alignment horizontal="left" vertical="top"/>
      <protection locked="0"/>
    </xf>
    <xf numFmtId="0" fontId="5" fillId="5" borderId="11" xfId="5" applyFont="1" applyFill="1" applyBorder="1" applyAlignment="1">
      <alignment horizontal="left" vertical="top"/>
    </xf>
    <xf numFmtId="0" fontId="5" fillId="5" borderId="11" xfId="5" applyFont="1" applyFill="1" applyBorder="1" applyAlignment="1" applyProtection="1">
      <alignment horizontal="left" vertical="top"/>
      <protection locked="0"/>
    </xf>
    <xf numFmtId="0" fontId="5" fillId="5" borderId="5" xfId="5" applyFont="1" applyFill="1" applyBorder="1" applyAlignment="1" applyProtection="1">
      <alignment horizontal="left" vertical="top" wrapText="1"/>
      <protection locked="0"/>
    </xf>
    <xf numFmtId="0" fontId="5" fillId="5" borderId="23" xfId="5" applyFont="1" applyFill="1" applyBorder="1" applyAlignment="1" applyProtection="1">
      <alignment horizontal="left" vertical="top" wrapText="1"/>
      <protection locked="0"/>
    </xf>
    <xf numFmtId="0" fontId="5" fillId="5" borderId="12" xfId="2" applyFont="1" applyFill="1" applyBorder="1" applyAlignment="1">
      <alignment horizontal="left" vertical="top"/>
    </xf>
    <xf numFmtId="0" fontId="5" fillId="5" borderId="12" xfId="9" applyFont="1" applyFill="1" applyBorder="1" applyAlignment="1" applyProtection="1">
      <alignment horizontal="left" vertical="center" wrapText="1"/>
      <protection locked="0"/>
    </xf>
    <xf numFmtId="0" fontId="5" fillId="5" borderId="6" xfId="2" applyFont="1" applyFill="1" applyBorder="1" applyAlignment="1" applyProtection="1">
      <alignment horizontal="left" vertical="top"/>
      <protection locked="0"/>
    </xf>
    <xf numFmtId="0" fontId="5" fillId="5" borderId="11" xfId="2" applyFont="1" applyFill="1" applyBorder="1" applyAlignment="1" applyProtection="1">
      <alignment horizontal="left" vertical="top"/>
      <protection locked="0"/>
    </xf>
    <xf numFmtId="41" fontId="5" fillId="5" borderId="11" xfId="10" applyFont="1" applyFill="1" applyBorder="1" applyAlignment="1" applyProtection="1">
      <alignment horizontal="left" vertical="top" wrapText="1"/>
      <protection locked="0"/>
    </xf>
    <xf numFmtId="41" fontId="5" fillId="5" borderId="11" xfId="10" applyFont="1" applyFill="1" applyBorder="1" applyAlignment="1" applyProtection="1">
      <alignment horizontal="left" vertical="top"/>
      <protection locked="0"/>
    </xf>
    <xf numFmtId="0" fontId="5" fillId="0" borderId="6" xfId="5" applyFont="1" applyBorder="1" applyAlignment="1" applyProtection="1">
      <alignment horizontal="left" vertical="top" wrapText="1"/>
      <protection locked="0"/>
    </xf>
    <xf numFmtId="41" fontId="5" fillId="0" borderId="11" xfId="10" applyFont="1" applyBorder="1" applyAlignment="1" applyProtection="1">
      <alignment horizontal="left" vertical="top" wrapText="1"/>
      <protection locked="0"/>
    </xf>
    <xf numFmtId="0" fontId="5" fillId="6" borderId="6" xfId="2" applyFont="1" applyFill="1" applyBorder="1" applyAlignment="1" applyProtection="1">
      <alignment horizontal="left" vertical="top" wrapText="1"/>
      <protection locked="0"/>
    </xf>
    <xf numFmtId="0" fontId="5" fillId="6" borderId="11" xfId="2" applyFont="1" applyFill="1" applyBorder="1" applyAlignment="1" applyProtection="1">
      <alignment horizontal="left" vertical="top" wrapText="1"/>
      <protection locked="0"/>
    </xf>
    <xf numFmtId="0" fontId="5" fillId="6" borderId="11" xfId="2" applyFont="1" applyFill="1" applyBorder="1" applyAlignment="1" applyProtection="1">
      <alignment horizontal="left" vertical="top"/>
      <protection locked="0"/>
    </xf>
    <xf numFmtId="3" fontId="5" fillId="0" borderId="11" xfId="5" applyNumberFormat="1" applyFont="1" applyBorder="1" applyAlignment="1" applyProtection="1">
      <alignment horizontal="right" vertical="top" wrapText="1"/>
      <protection locked="0"/>
    </xf>
    <xf numFmtId="0" fontId="5" fillId="6" borderId="7" xfId="2" applyFont="1" applyFill="1" applyBorder="1" applyAlignment="1" applyProtection="1">
      <alignment horizontal="left" vertical="top" wrapText="1"/>
      <protection locked="0"/>
    </xf>
    <xf numFmtId="0" fontId="5" fillId="6" borderId="7" xfId="2" applyFont="1" applyFill="1" applyBorder="1" applyAlignment="1" applyProtection="1">
      <alignment horizontal="left" vertical="top"/>
      <protection locked="0"/>
    </xf>
    <xf numFmtId="3" fontId="5" fillId="0" borderId="7" xfId="5" applyNumberFormat="1" applyFont="1" applyBorder="1" applyAlignment="1" applyProtection="1">
      <alignment horizontal="right" vertical="top" wrapText="1"/>
      <protection locked="0"/>
    </xf>
    <xf numFmtId="3" fontId="5" fillId="0" borderId="7" xfId="2" applyNumberFormat="1" applyFont="1" applyBorder="1" applyAlignment="1" applyProtection="1">
      <alignment horizontal="right" vertical="top" wrapText="1"/>
      <protection locked="0"/>
    </xf>
    <xf numFmtId="0" fontId="5" fillId="0" borderId="24" xfId="5" applyFont="1" applyBorder="1" applyAlignment="1" applyProtection="1">
      <alignment horizontal="left" vertical="top" wrapText="1"/>
      <protection locked="0"/>
    </xf>
    <xf numFmtId="41" fontId="5" fillId="0" borderId="7" xfId="10" applyFont="1" applyBorder="1" applyAlignment="1" applyProtection="1">
      <alignment horizontal="left" vertical="top" wrapText="1"/>
      <protection locked="0"/>
    </xf>
    <xf numFmtId="3" fontId="5" fillId="0" borderId="11" xfId="2" applyNumberFormat="1" applyFont="1" applyBorder="1" applyAlignment="1" applyProtection="1">
      <alignment horizontal="right" vertical="top" wrapText="1"/>
      <protection locked="0"/>
    </xf>
    <xf numFmtId="3" fontId="5" fillId="5" borderId="11" xfId="2" applyNumberFormat="1" applyFont="1" applyFill="1" applyBorder="1" applyAlignment="1" applyProtection="1">
      <alignment horizontal="right" vertical="top" wrapText="1"/>
      <protection locked="0"/>
    </xf>
    <xf numFmtId="0" fontId="5" fillId="6" borderId="10" xfId="2" applyFont="1" applyFill="1" applyBorder="1" applyAlignment="1">
      <alignment horizontal="left" vertical="top"/>
    </xf>
    <xf numFmtId="0" fontId="5" fillId="0" borderId="11" xfId="2" applyFont="1" applyBorder="1" applyAlignment="1" applyProtection="1">
      <alignment horizontal="left" vertical="top" wrapText="1"/>
      <protection locked="0"/>
    </xf>
    <xf numFmtId="0" fontId="5" fillId="0" borderId="12" xfId="2" applyFont="1" applyBorder="1" applyAlignment="1" applyProtection="1">
      <alignment vertical="top" wrapText="1"/>
      <protection locked="0"/>
    </xf>
    <xf numFmtId="0" fontId="5" fillId="6" borderId="24" xfId="2" applyFont="1" applyFill="1" applyBorder="1" applyAlignment="1">
      <alignment horizontal="left" vertical="top"/>
    </xf>
    <xf numFmtId="41" fontId="5" fillId="0" borderId="7" xfId="5" applyNumberFormat="1" applyFont="1" applyBorder="1" applyAlignment="1" applyProtection="1">
      <alignment horizontal="right" vertical="top" wrapText="1"/>
      <protection locked="0"/>
    </xf>
    <xf numFmtId="3" fontId="5" fillId="5" borderId="7" xfId="5" applyNumberFormat="1" applyFont="1" applyFill="1" applyBorder="1" applyAlignment="1" applyProtection="1">
      <alignment horizontal="right" vertical="top" wrapText="1"/>
      <protection locked="0"/>
    </xf>
    <xf numFmtId="0" fontId="8" fillId="0" borderId="12" xfId="8" applyFont="1" applyBorder="1" applyAlignment="1">
      <alignment vertical="top"/>
    </xf>
    <xf numFmtId="0" fontId="5" fillId="6" borderId="15" xfId="2" applyFont="1" applyFill="1" applyBorder="1" applyAlignment="1">
      <alignment horizontal="left" vertical="top"/>
    </xf>
    <xf numFmtId="0" fontId="5" fillId="6" borderId="1" xfId="2" applyFont="1" applyFill="1" applyBorder="1" applyAlignment="1" applyProtection="1">
      <alignment horizontal="left" vertical="top" wrapText="1"/>
      <protection locked="0"/>
    </xf>
    <xf numFmtId="0" fontId="5" fillId="0" borderId="0" xfId="2" applyFont="1" applyBorder="1" applyAlignment="1" applyProtection="1">
      <alignment vertical="top"/>
      <protection locked="0"/>
    </xf>
    <xf numFmtId="0" fontId="5" fillId="0" borderId="7" xfId="2" applyFont="1" applyBorder="1" applyAlignment="1" applyProtection="1">
      <alignment horizontal="left" vertical="top" wrapText="1"/>
      <protection locked="0"/>
    </xf>
    <xf numFmtId="0" fontId="5" fillId="5" borderId="6" xfId="5" applyFont="1" applyFill="1" applyBorder="1" applyAlignment="1" applyProtection="1">
      <alignment horizontal="left" vertical="top" wrapText="1"/>
      <protection locked="0"/>
    </xf>
    <xf numFmtId="0" fontId="5" fillId="5" borderId="11" xfId="2" applyFont="1" applyFill="1" applyBorder="1" applyAlignment="1">
      <alignment horizontal="left" vertical="top"/>
    </xf>
    <xf numFmtId="0" fontId="5" fillId="0" borderId="5" xfId="5" applyFont="1" applyBorder="1" applyAlignment="1" applyProtection="1">
      <alignment horizontal="left" vertical="top"/>
      <protection locked="0"/>
    </xf>
    <xf numFmtId="0" fontId="5" fillId="0" borderId="1" xfId="5" applyFont="1" applyBorder="1" applyAlignment="1" applyProtection="1">
      <alignment horizontal="left" vertical="top" wrapText="1"/>
      <protection locked="0"/>
    </xf>
    <xf numFmtId="0" fontId="5" fillId="0" borderId="24" xfId="5" applyFont="1" applyBorder="1" applyAlignment="1" applyProtection="1">
      <alignment horizontal="left" vertical="top"/>
      <protection locked="0"/>
    </xf>
    <xf numFmtId="41" fontId="5" fillId="0" borderId="24" xfId="10" applyFont="1" applyBorder="1" applyAlignment="1" applyProtection="1">
      <alignment horizontal="left" vertical="top" wrapText="1"/>
      <protection locked="0"/>
    </xf>
    <xf numFmtId="41" fontId="5" fillId="0" borderId="24" xfId="5" applyNumberFormat="1" applyFont="1" applyBorder="1" applyAlignment="1" applyProtection="1">
      <alignment horizontal="right" vertical="top" wrapText="1"/>
      <protection locked="0"/>
    </xf>
    <xf numFmtId="0" fontId="5" fillId="6" borderId="21" xfId="2" applyFont="1" applyFill="1" applyBorder="1" applyAlignment="1">
      <alignment horizontal="left" vertical="top"/>
    </xf>
    <xf numFmtId="0" fontId="5" fillId="6" borderId="24" xfId="2" applyFont="1" applyFill="1" applyBorder="1" applyAlignment="1" applyProtection="1">
      <alignment horizontal="left" vertical="top" wrapText="1"/>
      <protection locked="0"/>
    </xf>
    <xf numFmtId="0" fontId="5" fillId="6" borderId="24" xfId="2" applyFont="1" applyFill="1" applyBorder="1" applyAlignment="1" applyProtection="1">
      <alignment horizontal="left" vertical="top"/>
      <protection locked="0"/>
    </xf>
    <xf numFmtId="41" fontId="5" fillId="6" borderId="24" xfId="10" applyFont="1" applyFill="1" applyBorder="1" applyAlignment="1" applyProtection="1">
      <alignment horizontal="left" vertical="top" wrapText="1"/>
      <protection locked="0"/>
    </xf>
    <xf numFmtId="41" fontId="5" fillId="6" borderId="24" xfId="10" applyFont="1" applyFill="1" applyBorder="1" applyAlignment="1" applyProtection="1">
      <alignment horizontal="left" vertical="top"/>
      <protection locked="0"/>
    </xf>
    <xf numFmtId="3" fontId="5" fillId="0" borderId="24" xfId="2" applyNumberFormat="1" applyFont="1" applyBorder="1" applyAlignment="1" applyProtection="1">
      <alignment horizontal="right" vertical="top" wrapText="1"/>
      <protection locked="0"/>
    </xf>
    <xf numFmtId="0" fontId="5" fillId="0" borderId="2" xfId="5" applyFont="1" applyBorder="1" applyAlignment="1" applyProtection="1">
      <alignment horizontal="left" vertical="top" wrapText="1"/>
      <protection locked="0"/>
    </xf>
    <xf numFmtId="0" fontId="5" fillId="0" borderId="4" xfId="5" applyFont="1" applyBorder="1" applyAlignment="1" applyProtection="1">
      <alignment horizontal="left" vertical="top" wrapText="1"/>
      <protection locked="0"/>
    </xf>
    <xf numFmtId="0" fontId="5" fillId="6" borderId="6" xfId="2" applyFont="1" applyFill="1" applyBorder="1" applyAlignment="1">
      <alignment horizontal="left" vertical="top"/>
    </xf>
    <xf numFmtId="0" fontId="5" fillId="0" borderId="6" xfId="2" applyFont="1" applyBorder="1" applyAlignment="1">
      <alignment horizontal="left" vertical="top"/>
    </xf>
    <xf numFmtId="0" fontId="5" fillId="0" borderId="8" xfId="5" applyFont="1" applyBorder="1" applyAlignment="1" applyProtection="1">
      <alignment horizontal="left" vertical="top" wrapText="1"/>
      <protection locked="0"/>
    </xf>
    <xf numFmtId="3" fontId="5" fillId="5" borderId="11" xfId="5" applyNumberFormat="1" applyFont="1" applyFill="1" applyBorder="1" applyAlignment="1" applyProtection="1">
      <alignment horizontal="right" vertical="top" wrapText="1"/>
      <protection locked="0"/>
    </xf>
    <xf numFmtId="41" fontId="5" fillId="6" borderId="12" xfId="10" applyFont="1" applyFill="1" applyBorder="1" applyAlignment="1" applyProtection="1">
      <alignment horizontal="left" vertical="top" wrapText="1"/>
      <protection locked="0"/>
    </xf>
    <xf numFmtId="41" fontId="5" fillId="6" borderId="12" xfId="10" applyFont="1" applyFill="1" applyBorder="1" applyAlignment="1" applyProtection="1">
      <alignment horizontal="left" vertical="top"/>
      <protection locked="0"/>
    </xf>
    <xf numFmtId="3" fontId="5" fillId="6" borderId="12" xfId="2" applyNumberFormat="1" applyFont="1" applyFill="1" applyBorder="1" applyAlignment="1" applyProtection="1">
      <alignment horizontal="right" vertical="top" wrapText="1"/>
      <protection locked="0"/>
    </xf>
    <xf numFmtId="0" fontId="5" fillId="5" borderId="11" xfId="2" applyFont="1" applyFill="1" applyBorder="1" applyAlignment="1">
      <alignment horizontal="left" vertical="top" wrapText="1"/>
    </xf>
    <xf numFmtId="0" fontId="5" fillId="5" borderId="11" xfId="2" applyFont="1" applyFill="1" applyBorder="1" applyAlignment="1" applyProtection="1">
      <alignment horizontal="left" vertical="top" wrapText="1"/>
      <protection locked="0"/>
    </xf>
    <xf numFmtId="0" fontId="5" fillId="5" borderId="11" xfId="2" applyFont="1" applyFill="1" applyBorder="1" applyAlignment="1" applyProtection="1">
      <alignment horizontal="right" vertical="top" wrapText="1"/>
      <protection locked="0"/>
    </xf>
    <xf numFmtId="0" fontId="5" fillId="0" borderId="11" xfId="2" applyFont="1" applyBorder="1" applyAlignment="1" applyProtection="1">
      <alignment horizontal="right" vertical="top" wrapText="1"/>
      <protection locked="0"/>
    </xf>
    <xf numFmtId="0" fontId="5" fillId="5" borderId="2" xfId="5" applyFont="1" applyFill="1" applyBorder="1" applyAlignment="1" applyProtection="1">
      <alignment horizontal="left" vertical="top" wrapText="1"/>
      <protection locked="0"/>
    </xf>
    <xf numFmtId="0" fontId="5" fillId="5" borderId="4" xfId="5" applyFont="1" applyFill="1" applyBorder="1" applyAlignment="1" applyProtection="1">
      <alignment horizontal="left" vertical="top" wrapText="1"/>
      <protection locked="0"/>
    </xf>
    <xf numFmtId="0" fontId="7" fillId="4" borderId="11" xfId="5" applyFont="1" applyFill="1" applyBorder="1" applyAlignment="1">
      <alignment horizontal="center" vertical="top"/>
    </xf>
    <xf numFmtId="164" fontId="5" fillId="6" borderId="7" xfId="11" applyNumberFormat="1" applyFont="1" applyFill="1" applyBorder="1" applyAlignment="1">
      <alignment horizontal="center" vertical="top" wrapText="1"/>
    </xf>
    <xf numFmtId="164" fontId="5" fillId="6" borderId="8" xfId="11" applyNumberFormat="1" applyFont="1" applyFill="1" applyBorder="1" applyAlignment="1">
      <alignment horizontal="center" vertical="top" wrapText="1"/>
    </xf>
    <xf numFmtId="0" fontId="5" fillId="6" borderId="7" xfId="11" applyFont="1" applyFill="1" applyBorder="1" applyAlignment="1">
      <alignment horizontal="left" vertical="top" wrapText="1"/>
    </xf>
    <xf numFmtId="0" fontId="5" fillId="6" borderId="10" xfId="11" applyFont="1" applyFill="1" applyBorder="1" applyAlignment="1">
      <alignment horizontal="left" vertical="top" wrapText="1"/>
    </xf>
    <xf numFmtId="164" fontId="5" fillId="6" borderId="7" xfId="11" applyNumberFormat="1" applyFont="1" applyFill="1" applyBorder="1" applyAlignment="1">
      <alignment horizontal="left" vertical="top" wrapText="1"/>
    </xf>
    <xf numFmtId="164" fontId="5" fillId="6" borderId="8" xfId="11" applyNumberFormat="1" applyFont="1" applyFill="1" applyBorder="1" applyAlignment="1">
      <alignment horizontal="left" vertical="top"/>
    </xf>
    <xf numFmtId="3" fontId="5" fillId="6" borderId="7" xfId="11" applyNumberFormat="1" applyFont="1" applyFill="1" applyBorder="1" applyAlignment="1">
      <alignment vertical="top" wrapText="1"/>
    </xf>
    <xf numFmtId="165" fontId="5" fillId="6" borderId="7" xfId="12" applyFont="1" applyFill="1" applyBorder="1" applyAlignment="1" applyProtection="1">
      <alignment horizontal="left" vertical="top" wrapText="1"/>
    </xf>
    <xf numFmtId="41" fontId="7" fillId="6" borderId="7" xfId="11" applyNumberFormat="1" applyFont="1" applyFill="1" applyBorder="1" applyAlignment="1">
      <alignment horizontal="left" vertical="top" wrapText="1"/>
    </xf>
    <xf numFmtId="0" fontId="5" fillId="6" borderId="5" xfId="11" applyFont="1" applyFill="1" applyBorder="1" applyAlignment="1">
      <alignment horizontal="left" vertical="top" wrapText="1"/>
    </xf>
    <xf numFmtId="164" fontId="5" fillId="6" borderId="24" xfId="11" applyNumberFormat="1" applyFont="1" applyFill="1" applyBorder="1" applyAlignment="1">
      <alignment horizontal="center" vertical="top" wrapText="1"/>
    </xf>
    <xf numFmtId="164" fontId="5" fillId="6" borderId="20" xfId="11" applyNumberFormat="1" applyFont="1" applyFill="1" applyBorder="1" applyAlignment="1">
      <alignment horizontal="center" vertical="top" wrapText="1"/>
    </xf>
    <xf numFmtId="0" fontId="7" fillId="9" borderId="12" xfId="2" applyFont="1" applyFill="1" applyBorder="1" applyAlignment="1">
      <alignment vertical="center" wrapText="1"/>
    </xf>
    <xf numFmtId="166" fontId="7" fillId="7" borderId="15" xfId="1" applyNumberFormat="1" applyFont="1" applyFill="1" applyBorder="1" applyAlignment="1">
      <alignment vertical="center" wrapText="1"/>
    </xf>
    <xf numFmtId="167" fontId="7" fillId="7" borderId="30" xfId="2" applyNumberFormat="1" applyFont="1" applyFill="1" applyBorder="1" applyAlignment="1">
      <alignment vertical="center"/>
    </xf>
    <xf numFmtId="0" fontId="5" fillId="0" borderId="12" xfId="2" applyFont="1" applyFill="1" applyBorder="1" applyAlignment="1" applyProtection="1">
      <alignment vertical="center"/>
      <protection locked="0"/>
    </xf>
    <xf numFmtId="0" fontId="5" fillId="0" borderId="15" xfId="2" applyFont="1" applyFill="1" applyBorder="1" applyAlignment="1" applyProtection="1">
      <alignment horizontal="left" vertical="center" wrapText="1"/>
      <protection locked="0"/>
    </xf>
    <xf numFmtId="0" fontId="7" fillId="0" borderId="32" xfId="2" applyFont="1" applyFill="1" applyBorder="1" applyAlignment="1" applyProtection="1">
      <alignment horizontal="center" vertical="center" wrapText="1"/>
      <protection locked="0"/>
    </xf>
    <xf numFmtId="0" fontId="5" fillId="0" borderId="12" xfId="2" applyFont="1" applyFill="1" applyBorder="1" applyAlignment="1">
      <alignment vertical="center"/>
    </xf>
    <xf numFmtId="0" fontId="5" fillId="0" borderId="12" xfId="2" applyFont="1" applyFill="1" applyBorder="1" applyAlignment="1" applyProtection="1">
      <alignment horizontal="left" vertical="center" wrapText="1"/>
      <protection locked="0"/>
    </xf>
    <xf numFmtId="0" fontId="5" fillId="0" borderId="13" xfId="2" applyFont="1" applyFill="1" applyBorder="1" applyAlignment="1" applyProtection="1">
      <alignment horizontal="center" vertical="center" wrapText="1"/>
      <protection locked="0"/>
    </xf>
    <xf numFmtId="0" fontId="5" fillId="0" borderId="33" xfId="2" applyFont="1" applyFill="1" applyBorder="1" applyAlignment="1" applyProtection="1">
      <alignment horizontal="center" vertical="center" wrapText="1"/>
      <protection locked="0"/>
    </xf>
    <xf numFmtId="0" fontId="5" fillId="0" borderId="33" xfId="2" applyFont="1" applyFill="1" applyBorder="1" applyAlignment="1" applyProtection="1">
      <alignment horizontal="left" vertical="center" wrapText="1"/>
      <protection locked="0"/>
    </xf>
    <xf numFmtId="0" fontId="5" fillId="0" borderId="33" xfId="2" applyFont="1" applyFill="1" applyBorder="1" applyAlignment="1" applyProtection="1">
      <alignment horizontal="center" vertical="center"/>
      <protection locked="0"/>
    </xf>
    <xf numFmtId="0" fontId="5" fillId="0" borderId="14" xfId="2" applyFont="1" applyFill="1" applyBorder="1" applyAlignment="1" applyProtection="1">
      <alignment horizontal="center" vertical="center" wrapText="1"/>
      <protection locked="0"/>
    </xf>
    <xf numFmtId="166" fontId="5" fillId="0" borderId="12" xfId="2" applyNumberFormat="1" applyFont="1" applyFill="1" applyBorder="1" applyAlignment="1" applyProtection="1">
      <alignment horizontal="center" vertical="center" wrapText="1"/>
      <protection locked="0"/>
    </xf>
    <xf numFmtId="167" fontId="5" fillId="0" borderId="12" xfId="13" applyNumberFormat="1" applyFont="1" applyFill="1" applyBorder="1" applyAlignment="1" applyProtection="1">
      <alignment vertical="center"/>
      <protection locked="0"/>
    </xf>
    <xf numFmtId="0" fontId="3" fillId="0" borderId="12" xfId="2" applyFont="1" applyBorder="1"/>
    <xf numFmtId="0" fontId="7" fillId="0" borderId="13" xfId="2" applyFont="1" applyFill="1" applyBorder="1" applyAlignment="1" applyProtection="1">
      <alignment horizontal="center" vertical="center" wrapText="1"/>
      <protection locked="0"/>
    </xf>
    <xf numFmtId="0" fontId="7" fillId="9" borderId="31" xfId="2" applyFont="1" applyFill="1" applyBorder="1" applyAlignment="1">
      <alignment horizontal="right" vertical="top"/>
    </xf>
    <xf numFmtId="0" fontId="7" fillId="9" borderId="31" xfId="2" applyFont="1" applyFill="1" applyBorder="1" applyAlignment="1">
      <alignment vertical="top" wrapText="1"/>
    </xf>
    <xf numFmtId="167" fontId="7" fillId="10" borderId="34" xfId="2" applyNumberFormat="1" applyFont="1" applyFill="1" applyBorder="1" applyAlignment="1">
      <alignment horizontal="center" vertical="center" wrapText="1"/>
    </xf>
    <xf numFmtId="0" fontId="7" fillId="0" borderId="12" xfId="2" applyFont="1" applyFill="1" applyBorder="1" applyAlignment="1">
      <alignment horizontal="right" vertical="top"/>
    </xf>
    <xf numFmtId="0" fontId="7" fillId="11" borderId="12" xfId="2" applyFont="1" applyFill="1" applyBorder="1" applyAlignment="1">
      <alignment horizontal="left" vertical="top" wrapText="1"/>
    </xf>
    <xf numFmtId="0" fontId="7" fillId="11" borderId="12" xfId="2" applyFont="1" applyFill="1" applyBorder="1" applyAlignment="1">
      <alignment horizontal="left" vertical="top" wrapText="1" indent="1"/>
    </xf>
    <xf numFmtId="166" fontId="7" fillId="11" borderId="12" xfId="1" applyNumberFormat="1" applyFont="1" applyFill="1" applyBorder="1" applyAlignment="1">
      <alignment vertical="center" wrapText="1"/>
    </xf>
    <xf numFmtId="167" fontId="7" fillId="11" borderId="12" xfId="2" applyNumberFormat="1" applyFont="1" applyFill="1" applyBorder="1" applyAlignment="1">
      <alignment vertical="center"/>
    </xf>
    <xf numFmtId="167" fontId="7" fillId="11" borderId="12" xfId="2" applyNumberFormat="1" applyFont="1" applyFill="1" applyBorder="1" applyAlignment="1">
      <alignment horizontal="center" vertical="center" wrapText="1"/>
    </xf>
    <xf numFmtId="0" fontId="5" fillId="0" borderId="12" xfId="2" applyFont="1" applyBorder="1" applyAlignment="1">
      <alignment vertical="center"/>
    </xf>
    <xf numFmtId="0" fontId="5" fillId="0" borderId="12" xfId="2" applyFont="1" applyBorder="1" applyAlignment="1">
      <alignment vertical="center" wrapText="1"/>
    </xf>
    <xf numFmtId="0" fontId="5" fillId="0" borderId="12" xfId="2" applyFont="1" applyBorder="1" applyAlignment="1">
      <alignment horizontal="left" vertical="center" wrapText="1" indent="1"/>
    </xf>
    <xf numFmtId="0" fontId="5" fillId="5" borderId="12" xfId="2" applyFont="1" applyFill="1" applyBorder="1" applyAlignment="1" applyProtection="1">
      <alignment horizontal="right" vertical="center"/>
      <protection locked="0"/>
    </xf>
    <xf numFmtId="0" fontId="5" fillId="0" borderId="12" xfId="2" applyFont="1" applyBorder="1" applyAlignment="1">
      <alignment horizontal="left" vertical="center"/>
    </xf>
    <xf numFmtId="0" fontId="5" fillId="0" borderId="12" xfId="2" applyFont="1" applyBorder="1" applyAlignment="1">
      <alignment horizontal="center" vertical="center"/>
    </xf>
    <xf numFmtId="0" fontId="5" fillId="0" borderId="12" xfId="2" applyFont="1" applyBorder="1" applyAlignment="1">
      <alignment horizontal="right" vertical="center"/>
    </xf>
    <xf numFmtId="169" fontId="5" fillId="5" borderId="12" xfId="2" applyNumberFormat="1" applyFont="1" applyFill="1" applyBorder="1" applyAlignment="1" applyProtection="1">
      <alignment horizontal="center" vertical="center"/>
      <protection locked="0"/>
    </xf>
    <xf numFmtId="167" fontId="5" fillId="0" borderId="12" xfId="13" applyNumberFormat="1" applyFont="1" applyBorder="1" applyAlignment="1">
      <alignment vertical="center"/>
    </xf>
    <xf numFmtId="167" fontId="5" fillId="0" borderId="12" xfId="13" applyNumberFormat="1" applyFont="1" applyFill="1" applyBorder="1" applyAlignment="1">
      <alignment vertical="center" wrapText="1"/>
    </xf>
    <xf numFmtId="167" fontId="5" fillId="0" borderId="12" xfId="2" applyNumberFormat="1" applyFont="1" applyBorder="1" applyAlignment="1">
      <alignment vertical="center" wrapText="1"/>
    </xf>
    <xf numFmtId="0" fontId="16" fillId="7" borderId="5" xfId="2" quotePrefix="1" applyFont="1" applyFill="1" applyBorder="1" applyAlignment="1">
      <alignment horizontal="right" vertical="top"/>
    </xf>
    <xf numFmtId="0" fontId="8" fillId="7" borderId="13" xfId="4" applyFont="1" applyFill="1" applyBorder="1" applyAlignment="1">
      <alignment vertical="justify"/>
    </xf>
    <xf numFmtId="3" fontId="8" fillId="7" borderId="11" xfId="2" applyNumberFormat="1" applyFont="1" applyFill="1" applyBorder="1" applyAlignment="1">
      <alignment horizontal="left" vertical="top" wrapText="1"/>
    </xf>
    <xf numFmtId="3" fontId="8" fillId="7" borderId="11" xfId="2" applyNumberFormat="1" applyFont="1" applyFill="1" applyBorder="1" applyAlignment="1">
      <alignment horizontal="left" vertical="top"/>
    </xf>
    <xf numFmtId="3" fontId="16" fillId="7" borderId="11" xfId="2" applyNumberFormat="1" applyFont="1" applyFill="1" applyBorder="1" applyAlignment="1">
      <alignment horizontal="right" vertical="top" wrapText="1"/>
    </xf>
    <xf numFmtId="0" fontId="14" fillId="5" borderId="8" xfId="2" quotePrefix="1" applyFont="1" applyFill="1" applyBorder="1" applyAlignment="1">
      <alignment horizontal="left" vertical="top" wrapText="1"/>
    </xf>
    <xf numFmtId="0" fontId="8" fillId="5" borderId="6" xfId="2" applyFont="1" applyFill="1" applyBorder="1" applyAlignment="1">
      <alignment horizontal="left" vertical="top" wrapText="1"/>
    </xf>
    <xf numFmtId="3" fontId="8" fillId="5" borderId="11" xfId="2" applyNumberFormat="1" applyFont="1" applyFill="1" applyBorder="1" applyAlignment="1">
      <alignment horizontal="left" vertical="top"/>
    </xf>
    <xf numFmtId="3" fontId="8" fillId="6" borderId="11" xfId="2" applyNumberFormat="1" applyFont="1" applyFill="1" applyBorder="1" applyAlignment="1">
      <alignment horizontal="left" vertical="top" wrapText="1"/>
    </xf>
    <xf numFmtId="3" fontId="8" fillId="6" borderId="11" xfId="2" applyNumberFormat="1" applyFont="1" applyFill="1" applyBorder="1" applyAlignment="1">
      <alignment horizontal="left" vertical="top"/>
    </xf>
    <xf numFmtId="0" fontId="8" fillId="0" borderId="12" xfId="4" applyFont="1" applyFill="1" applyBorder="1"/>
    <xf numFmtId="41" fontId="3" fillId="0" borderId="0" xfId="2" applyNumberFormat="1" applyFont="1"/>
    <xf numFmtId="0" fontId="5" fillId="12" borderId="12" xfId="5" applyFont="1" applyFill="1" applyBorder="1" applyAlignment="1" applyProtection="1">
      <alignment horizontal="left" vertical="top"/>
    </xf>
    <xf numFmtId="0" fontId="5" fillId="12" borderId="12" xfId="5" applyFont="1" applyFill="1" applyBorder="1" applyAlignment="1" applyProtection="1">
      <alignment horizontal="left" vertical="top"/>
      <protection locked="0"/>
    </xf>
    <xf numFmtId="0" fontId="5" fillId="12" borderId="12" xfId="7" applyFont="1" applyFill="1" applyBorder="1" applyAlignment="1" applyProtection="1">
      <alignment vertical="top" wrapText="1"/>
      <protection locked="0"/>
    </xf>
    <xf numFmtId="0" fontId="5" fillId="12" borderId="12" xfId="2" applyFont="1" applyFill="1" applyBorder="1" applyAlignment="1">
      <alignment horizontal="left" vertical="top"/>
    </xf>
    <xf numFmtId="0" fontId="5" fillId="12" borderId="12" xfId="2" applyFont="1" applyFill="1" applyBorder="1" applyAlignment="1" applyProtection="1">
      <alignment horizontal="left" vertical="top" wrapText="1"/>
      <protection locked="0"/>
    </xf>
    <xf numFmtId="0" fontId="5" fillId="12" borderId="12" xfId="2" applyFont="1" applyFill="1" applyBorder="1" applyAlignment="1" applyProtection="1">
      <alignment horizontal="left" vertical="top"/>
      <protection locked="0"/>
    </xf>
    <xf numFmtId="41" fontId="5" fillId="12" borderId="12" xfId="1" applyFont="1" applyFill="1" applyBorder="1" applyAlignment="1" applyProtection="1">
      <alignment horizontal="left" vertical="top" wrapText="1"/>
      <protection locked="0"/>
    </xf>
    <xf numFmtId="41" fontId="5" fillId="12" borderId="12" xfId="1" applyFont="1" applyFill="1" applyBorder="1" applyAlignment="1" applyProtection="1">
      <alignment horizontal="left" vertical="top"/>
      <protection locked="0"/>
    </xf>
    <xf numFmtId="0" fontId="5" fillId="12" borderId="12" xfId="2" applyFont="1" applyFill="1" applyBorder="1" applyAlignment="1">
      <alignment horizontal="left" vertical="top" wrapText="1"/>
    </xf>
    <xf numFmtId="0" fontId="5" fillId="12" borderId="12" xfId="9" applyFont="1" applyFill="1" applyBorder="1" applyAlignment="1" applyProtection="1">
      <alignment horizontal="left" vertical="center" wrapText="1"/>
      <protection locked="0"/>
    </xf>
    <xf numFmtId="0" fontId="14" fillId="0" borderId="5" xfId="2" applyFont="1" applyBorder="1" applyAlignment="1">
      <alignment horizontal="left" vertical="top" wrapText="1"/>
    </xf>
    <xf numFmtId="0" fontId="8" fillId="0" borderId="6" xfId="2" applyFont="1" applyBorder="1" applyAlignment="1">
      <alignment horizontal="left" vertical="top"/>
    </xf>
    <xf numFmtId="0" fontId="8" fillId="12" borderId="11" xfId="2" applyFont="1" applyFill="1" applyBorder="1" applyAlignment="1">
      <alignment horizontal="left" vertical="top"/>
    </xf>
    <xf numFmtId="0" fontId="14" fillId="12" borderId="5" xfId="2" applyFont="1" applyFill="1" applyBorder="1" applyAlignment="1">
      <alignment horizontal="left" vertical="top" wrapText="1"/>
    </xf>
    <xf numFmtId="0" fontId="8" fillId="12" borderId="12" xfId="2" applyFont="1" applyFill="1" applyBorder="1" applyAlignment="1">
      <alignment horizontal="left" vertical="top"/>
    </xf>
    <xf numFmtId="0" fontId="8" fillId="12" borderId="12" xfId="2" applyFont="1" applyFill="1" applyBorder="1" applyAlignment="1">
      <alignment horizontal="left" vertical="top" wrapText="1"/>
    </xf>
    <xf numFmtId="0" fontId="8" fillId="12" borderId="11" xfId="2" applyFont="1" applyFill="1" applyBorder="1" applyAlignment="1">
      <alignment horizontal="left" vertical="top" wrapText="1"/>
    </xf>
    <xf numFmtId="41" fontId="8" fillId="12" borderId="11" xfId="1" applyFont="1" applyFill="1" applyBorder="1" applyAlignment="1">
      <alignment horizontal="right" vertical="top" wrapText="1"/>
    </xf>
    <xf numFmtId="41" fontId="8" fillId="12" borderId="11" xfId="1" applyFont="1" applyFill="1" applyBorder="1" applyAlignment="1">
      <alignment horizontal="right" vertical="top"/>
    </xf>
    <xf numFmtId="0" fontId="5" fillId="12" borderId="11" xfId="5" applyFont="1" applyFill="1" applyBorder="1" applyAlignment="1">
      <alignment horizontal="left" vertical="top"/>
    </xf>
    <xf numFmtId="0" fontId="5" fillId="12" borderId="11" xfId="5" applyFont="1" applyFill="1" applyBorder="1" applyAlignment="1" applyProtection="1">
      <alignment horizontal="left" vertical="top"/>
      <protection locked="0"/>
    </xf>
    <xf numFmtId="0" fontId="5" fillId="12" borderId="6" xfId="2" applyFont="1" applyFill="1" applyBorder="1" applyAlignment="1" applyProtection="1">
      <alignment horizontal="left" vertical="top" wrapText="1"/>
      <protection locked="0"/>
    </xf>
    <xf numFmtId="0" fontId="5" fillId="12" borderId="11" xfId="2" applyFont="1" applyFill="1" applyBorder="1" applyAlignment="1" applyProtection="1">
      <alignment horizontal="left" vertical="top" wrapText="1"/>
      <protection locked="0"/>
    </xf>
    <xf numFmtId="0" fontId="5" fillId="12" borderId="7" xfId="2" applyFont="1" applyFill="1" applyBorder="1" applyAlignment="1" applyProtection="1">
      <alignment horizontal="left" vertical="top" wrapText="1"/>
      <protection locked="0"/>
    </xf>
    <xf numFmtId="0" fontId="5" fillId="12" borderId="7" xfId="2" applyFont="1" applyFill="1" applyBorder="1" applyAlignment="1" applyProtection="1">
      <alignment horizontal="left" vertical="top"/>
      <protection locked="0"/>
    </xf>
    <xf numFmtId="41" fontId="5" fillId="12" borderId="7" xfId="10" applyFont="1" applyFill="1" applyBorder="1" applyAlignment="1" applyProtection="1">
      <alignment horizontal="left" vertical="top" wrapText="1"/>
      <protection locked="0"/>
    </xf>
    <xf numFmtId="41" fontId="5" fillId="12" borderId="7" xfId="10" applyFont="1" applyFill="1" applyBorder="1" applyAlignment="1" applyProtection="1">
      <alignment horizontal="left" vertical="top"/>
      <protection locked="0"/>
    </xf>
    <xf numFmtId="3" fontId="5" fillId="12" borderId="7" xfId="2" applyNumberFormat="1" applyFont="1" applyFill="1" applyBorder="1" applyAlignment="1" applyProtection="1">
      <alignment horizontal="right" vertical="top" wrapText="1"/>
      <protection locked="0"/>
    </xf>
    <xf numFmtId="0" fontId="8" fillId="5" borderId="8" xfId="2" quotePrefix="1" applyFont="1" applyFill="1" applyBorder="1" applyAlignment="1">
      <alignment horizontal="left" vertical="top"/>
    </xf>
    <xf numFmtId="0" fontId="8" fillId="0" borderId="20" xfId="2" applyFont="1" applyBorder="1" applyAlignment="1">
      <alignment horizontal="left" vertical="top"/>
    </xf>
    <xf numFmtId="0" fontId="8" fillId="6" borderId="1" xfId="2" applyFont="1" applyFill="1" applyBorder="1" applyAlignment="1">
      <alignment horizontal="left" vertical="top"/>
    </xf>
    <xf numFmtId="0" fontId="8" fillId="6" borderId="1" xfId="2" applyFont="1" applyFill="1" applyBorder="1" applyAlignment="1">
      <alignment horizontal="left" vertical="top" wrapText="1"/>
    </xf>
    <xf numFmtId="41" fontId="8" fillId="6" borderId="1" xfId="1" applyFont="1" applyFill="1" applyBorder="1" applyAlignment="1">
      <alignment horizontal="left" vertical="top" wrapText="1"/>
    </xf>
    <xf numFmtId="41" fontId="8" fillId="6" borderId="1" xfId="1" applyFont="1" applyFill="1" applyBorder="1" applyAlignment="1">
      <alignment horizontal="left" vertical="top"/>
    </xf>
    <xf numFmtId="41" fontId="8" fillId="0" borderId="1" xfId="1" applyFont="1" applyBorder="1" applyAlignment="1">
      <alignment horizontal="left" vertical="top"/>
    </xf>
    <xf numFmtId="41" fontId="8" fillId="12" borderId="11" xfId="1" applyFont="1" applyFill="1" applyBorder="1" applyAlignment="1">
      <alignment horizontal="left" vertical="top" wrapText="1"/>
    </xf>
    <xf numFmtId="41" fontId="8" fillId="12" borderId="11" xfId="1" applyFont="1" applyFill="1" applyBorder="1" applyAlignment="1">
      <alignment horizontal="left" vertical="top"/>
    </xf>
    <xf numFmtId="0" fontId="5" fillId="6" borderId="11" xfId="5" applyFont="1" applyFill="1" applyBorder="1" applyAlignment="1">
      <alignment horizontal="left" vertical="top"/>
    </xf>
    <xf numFmtId="0" fontId="5" fillId="6" borderId="5" xfId="5" applyFont="1" applyFill="1" applyBorder="1" applyAlignment="1" applyProtection="1">
      <alignment horizontal="left" vertical="top"/>
      <protection locked="0"/>
    </xf>
    <xf numFmtId="0" fontId="5" fillId="6" borderId="11" xfId="2" applyFont="1" applyFill="1" applyBorder="1" applyAlignment="1">
      <alignment horizontal="left" vertical="top"/>
    </xf>
    <xf numFmtId="3" fontId="5" fillId="6" borderId="11" xfId="2" applyNumberFormat="1" applyFont="1" applyFill="1" applyBorder="1" applyAlignment="1" applyProtection="1">
      <alignment horizontal="right" vertical="top" wrapText="1"/>
      <protection locked="0"/>
    </xf>
    <xf numFmtId="0" fontId="5" fillId="6" borderId="11" xfId="5" applyFont="1" applyFill="1" applyBorder="1" applyAlignment="1" applyProtection="1">
      <alignment horizontal="left" vertical="top"/>
      <protection locked="0"/>
    </xf>
    <xf numFmtId="0" fontId="5" fillId="6" borderId="8" xfId="5" applyFont="1" applyFill="1" applyBorder="1" applyAlignment="1" applyProtection="1">
      <alignment horizontal="left" vertical="top" wrapText="1"/>
      <protection locked="0"/>
    </xf>
    <xf numFmtId="0" fontId="5" fillId="6" borderId="10" xfId="5" applyFont="1" applyFill="1" applyBorder="1" applyAlignment="1" applyProtection="1">
      <alignment horizontal="left" vertical="top" wrapText="1"/>
      <protection locked="0"/>
    </xf>
    <xf numFmtId="0" fontId="5" fillId="6" borderId="11" xfId="2" applyFont="1" applyFill="1" applyBorder="1" applyAlignment="1">
      <alignment horizontal="left" vertical="top" wrapText="1"/>
    </xf>
    <xf numFmtId="0" fontId="5" fillId="6" borderId="5" xfId="5" applyFont="1" applyFill="1" applyBorder="1" applyAlignment="1" applyProtection="1">
      <alignment horizontal="left" vertical="top" wrapText="1"/>
      <protection locked="0"/>
    </xf>
    <xf numFmtId="0" fontId="5" fillId="6" borderId="6" xfId="5" applyFont="1" applyFill="1" applyBorder="1" applyAlignment="1" applyProtection="1">
      <alignment horizontal="left" vertical="top" wrapText="1"/>
      <protection locked="0"/>
    </xf>
    <xf numFmtId="0" fontId="8" fillId="12" borderId="5" xfId="2" applyFont="1" applyFill="1" applyBorder="1" applyAlignment="1">
      <alignment horizontal="left" vertical="top"/>
    </xf>
    <xf numFmtId="0" fontId="8" fillId="12" borderId="6" xfId="2" applyFont="1" applyFill="1" applyBorder="1" applyAlignment="1">
      <alignment horizontal="left" vertical="top"/>
    </xf>
    <xf numFmtId="0" fontId="8" fillId="12" borderId="21" xfId="2" applyFont="1" applyFill="1" applyBorder="1" applyAlignment="1">
      <alignment horizontal="left" vertical="top"/>
    </xf>
    <xf numFmtId="0" fontId="8" fillId="12" borderId="21" xfId="2" applyFont="1" applyFill="1" applyBorder="1" applyAlignment="1">
      <alignment horizontal="left" vertical="top" wrapText="1"/>
    </xf>
    <xf numFmtId="0" fontId="16" fillId="7" borderId="31" xfId="4" applyFont="1" applyFill="1" applyBorder="1" applyAlignment="1">
      <alignment horizontal="left" vertical="justify"/>
    </xf>
    <xf numFmtId="0" fontId="16" fillId="7" borderId="35" xfId="4" applyFont="1" applyFill="1" applyBorder="1" applyAlignment="1">
      <alignment horizontal="left" vertical="justify"/>
    </xf>
    <xf numFmtId="0" fontId="8" fillId="5" borderId="17" xfId="4" applyFont="1" applyFill="1" applyBorder="1" applyAlignment="1">
      <alignment horizontal="left" vertical="top" wrapText="1"/>
    </xf>
    <xf numFmtId="0" fontId="8" fillId="5" borderId="19" xfId="4" applyFont="1" applyFill="1" applyBorder="1" applyAlignment="1">
      <alignment horizontal="left" vertical="top" wrapText="1"/>
    </xf>
    <xf numFmtId="0" fontId="7" fillId="9" borderId="33" xfId="2" applyFont="1" applyFill="1" applyBorder="1" applyAlignment="1">
      <alignment horizontal="left" vertical="top" wrapText="1"/>
    </xf>
    <xf numFmtId="0" fontId="7" fillId="9" borderId="14" xfId="2" applyFont="1" applyFill="1" applyBorder="1" applyAlignment="1">
      <alignment horizontal="left" vertical="top" wrapText="1"/>
    </xf>
    <xf numFmtId="0" fontId="5" fillId="0" borderId="12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left" vertical="center" wrapText="1"/>
    </xf>
    <xf numFmtId="0" fontId="5" fillId="0" borderId="12" xfId="2" applyFont="1" applyFill="1" applyBorder="1" applyAlignment="1" applyProtection="1">
      <alignment horizontal="center" vertical="center"/>
      <protection locked="0"/>
    </xf>
    <xf numFmtId="0" fontId="5" fillId="0" borderId="31" xfId="2" applyFont="1" applyFill="1" applyBorder="1" applyAlignment="1" applyProtection="1">
      <alignment horizontal="center" vertical="center"/>
      <protection locked="0"/>
    </xf>
    <xf numFmtId="0" fontId="5" fillId="0" borderId="18" xfId="2" applyFont="1" applyFill="1" applyBorder="1" applyAlignment="1" applyProtection="1">
      <alignment horizontal="center" vertical="center"/>
      <protection locked="0"/>
    </xf>
    <xf numFmtId="0" fontId="5" fillId="0" borderId="5" xfId="5" applyFont="1" applyBorder="1" applyAlignment="1" applyProtection="1">
      <alignment horizontal="left" vertical="top" wrapText="1"/>
      <protection locked="0"/>
    </xf>
    <xf numFmtId="0" fontId="5" fillId="0" borderId="22" xfId="5" applyFont="1" applyBorder="1" applyAlignment="1" applyProtection="1">
      <alignment horizontal="left" vertical="top" wrapText="1"/>
      <protection locked="0"/>
    </xf>
    <xf numFmtId="0" fontId="5" fillId="0" borderId="6" xfId="5" applyFont="1" applyBorder="1" applyAlignment="1" applyProtection="1">
      <alignment horizontal="left" vertical="top" wrapText="1"/>
      <protection locked="0"/>
    </xf>
    <xf numFmtId="0" fontId="8" fillId="6" borderId="13" xfId="8" applyFont="1" applyFill="1" applyBorder="1" applyAlignment="1">
      <alignment horizontal="left" vertical="top" wrapText="1"/>
    </xf>
    <xf numFmtId="0" fontId="8" fillId="6" borderId="14" xfId="8" applyFont="1" applyFill="1" applyBorder="1" applyAlignment="1">
      <alignment horizontal="left" vertical="top" wrapText="1"/>
    </xf>
    <xf numFmtId="0" fontId="5" fillId="5" borderId="5" xfId="5" applyFont="1" applyFill="1" applyBorder="1" applyAlignment="1" applyProtection="1">
      <alignment horizontal="left" vertical="top" wrapText="1"/>
      <protection locked="0"/>
    </xf>
    <xf numFmtId="0" fontId="5" fillId="5" borderId="6" xfId="5" applyFont="1" applyFill="1" applyBorder="1" applyAlignment="1" applyProtection="1">
      <alignment horizontal="left" vertical="top" wrapText="1"/>
      <protection locked="0"/>
    </xf>
    <xf numFmtId="0" fontId="8" fillId="0" borderId="13" xfId="8" applyFont="1" applyFill="1" applyBorder="1" applyAlignment="1">
      <alignment horizontal="left" vertical="top" wrapText="1"/>
    </xf>
    <xf numFmtId="0" fontId="8" fillId="0" borderId="14" xfId="8" applyFont="1" applyFill="1" applyBorder="1" applyAlignment="1">
      <alignment horizontal="left" vertical="top" wrapText="1"/>
    </xf>
    <xf numFmtId="0" fontId="5" fillId="6" borderId="5" xfId="11" applyFont="1" applyFill="1" applyBorder="1" applyAlignment="1">
      <alignment horizontal="left" vertical="top" wrapText="1"/>
    </xf>
    <xf numFmtId="0" fontId="5" fillId="6" borderId="6" xfId="11" applyFont="1" applyFill="1" applyBorder="1" applyAlignment="1">
      <alignment horizontal="left" vertical="top" wrapText="1"/>
    </xf>
    <xf numFmtId="0" fontId="7" fillId="9" borderId="28" xfId="2" applyFont="1" applyFill="1" applyBorder="1" applyAlignment="1">
      <alignment horizontal="left" vertical="center" wrapText="1"/>
    </xf>
    <xf numFmtId="0" fontId="7" fillId="9" borderId="29" xfId="2" applyFont="1" applyFill="1" applyBorder="1" applyAlignment="1">
      <alignment horizontal="left" vertical="center" wrapText="1"/>
    </xf>
    <xf numFmtId="0" fontId="5" fillId="0" borderId="2" xfId="5" applyFont="1" applyBorder="1" applyAlignment="1" applyProtection="1">
      <alignment horizontal="left" vertical="top" wrapText="1"/>
      <protection locked="0"/>
    </xf>
    <xf numFmtId="0" fontId="5" fillId="0" borderId="25" xfId="5" applyFont="1" applyBorder="1" applyAlignment="1" applyProtection="1">
      <alignment horizontal="left" vertical="top" wrapText="1"/>
      <protection locked="0"/>
    </xf>
    <xf numFmtId="0" fontId="5" fillId="0" borderId="13" xfId="5" applyFont="1" applyBorder="1" applyAlignment="1" applyProtection="1">
      <alignment horizontal="left" vertical="top" wrapText="1"/>
      <protection locked="0"/>
    </xf>
    <xf numFmtId="0" fontId="5" fillId="0" borderId="14" xfId="5" applyFont="1" applyBorder="1" applyAlignment="1" applyProtection="1">
      <alignment horizontal="left" vertical="top" wrapText="1"/>
      <protection locked="0"/>
    </xf>
    <xf numFmtId="0" fontId="5" fillId="0" borderId="26" xfId="5" applyFont="1" applyBorder="1" applyAlignment="1" applyProtection="1">
      <alignment horizontal="left" vertical="top" wrapText="1"/>
      <protection locked="0"/>
    </xf>
    <xf numFmtId="0" fontId="5" fillId="0" borderId="27" xfId="5" applyFont="1" applyBorder="1" applyAlignment="1" applyProtection="1">
      <alignment horizontal="left" vertical="top" wrapText="1"/>
      <protection locked="0"/>
    </xf>
    <xf numFmtId="0" fontId="5" fillId="0" borderId="5" xfId="5" applyFont="1" applyBorder="1" applyAlignment="1" applyProtection="1">
      <alignment horizontal="left" vertical="top"/>
      <protection locked="0"/>
    </xf>
    <xf numFmtId="0" fontId="5" fillId="0" borderId="22" xfId="5" applyFont="1" applyBorder="1" applyAlignment="1" applyProtection="1">
      <alignment horizontal="left" vertical="top"/>
      <protection locked="0"/>
    </xf>
    <xf numFmtId="0" fontId="5" fillId="0" borderId="6" xfId="5" applyFont="1" applyBorder="1" applyAlignment="1" applyProtection="1">
      <alignment horizontal="left" vertical="top"/>
      <protection locked="0"/>
    </xf>
    <xf numFmtId="0" fontId="5" fillId="12" borderId="5" xfId="5" applyFont="1" applyFill="1" applyBorder="1" applyAlignment="1" applyProtection="1">
      <alignment horizontal="left" vertical="top" wrapText="1"/>
      <protection locked="0"/>
    </xf>
    <xf numFmtId="0" fontId="5" fillId="12" borderId="22" xfId="5" applyFont="1" applyFill="1" applyBorder="1" applyAlignment="1" applyProtection="1">
      <alignment horizontal="left" vertical="top" wrapText="1"/>
      <protection locked="0"/>
    </xf>
    <xf numFmtId="0" fontId="5" fillId="0" borderId="5" xfId="5" applyFont="1" applyBorder="1" applyAlignment="1" applyProtection="1">
      <alignment horizontal="center" vertical="top" wrapText="1"/>
      <protection locked="0"/>
    </xf>
    <xf numFmtId="0" fontId="5" fillId="0" borderId="22" xfId="5" applyFont="1" applyBorder="1" applyAlignment="1" applyProtection="1">
      <alignment horizontal="center" vertical="top" wrapText="1"/>
      <protection locked="0"/>
    </xf>
    <xf numFmtId="0" fontId="5" fillId="0" borderId="12" xfId="5" applyFont="1" applyBorder="1" applyAlignment="1" applyProtection="1">
      <alignment horizontal="left" vertical="top"/>
      <protection locked="0"/>
    </xf>
    <xf numFmtId="0" fontId="5" fillId="0" borderId="5" xfId="5" applyFont="1" applyBorder="1" applyAlignment="1" applyProtection="1">
      <alignment horizontal="left" vertical="top" wrapText="1"/>
    </xf>
    <xf numFmtId="0" fontId="5" fillId="0" borderId="16" xfId="5" applyFont="1" applyBorder="1" applyAlignment="1" applyProtection="1">
      <alignment horizontal="left" vertical="top" wrapText="1"/>
    </xf>
    <xf numFmtId="0" fontId="7" fillId="7" borderId="17" xfId="4" applyFont="1" applyFill="1" applyBorder="1" applyAlignment="1">
      <alignment horizontal="left" vertical="top"/>
    </xf>
    <xf numFmtId="0" fontId="7" fillId="7" borderId="18" xfId="4" applyFont="1" applyFill="1" applyBorder="1" applyAlignment="1">
      <alignment horizontal="left" vertical="top"/>
    </xf>
    <xf numFmtId="0" fontId="7" fillId="7" borderId="19" xfId="4" applyFont="1" applyFill="1" applyBorder="1" applyAlignment="1">
      <alignment horizontal="left" vertical="top"/>
    </xf>
    <xf numFmtId="0" fontId="8" fillId="8" borderId="20" xfId="4" applyFont="1" applyFill="1" applyBorder="1" applyAlignment="1">
      <alignment horizontal="left" vertical="top" wrapText="1"/>
    </xf>
    <xf numFmtId="0" fontId="8" fillId="8" borderId="0" xfId="4" applyFont="1" applyFill="1" applyBorder="1" applyAlignment="1">
      <alignment horizontal="left" vertical="top" wrapText="1"/>
    </xf>
    <xf numFmtId="0" fontId="8" fillId="8" borderId="12" xfId="4" applyFont="1" applyFill="1" applyBorder="1" applyAlignment="1">
      <alignment horizontal="left" vertical="top" wrapText="1"/>
    </xf>
    <xf numFmtId="0" fontId="8" fillId="8" borderId="13" xfId="4" applyFont="1" applyFill="1" applyBorder="1" applyAlignment="1">
      <alignment horizontal="left" vertical="top"/>
    </xf>
    <xf numFmtId="0" fontId="8" fillId="8" borderId="14" xfId="4" applyFont="1" applyFill="1" applyBorder="1" applyAlignment="1">
      <alignment horizontal="left" vertical="top"/>
    </xf>
    <xf numFmtId="0" fontId="6" fillId="4" borderId="12" xfId="5" applyFont="1" applyFill="1" applyBorder="1" applyAlignment="1" applyProtection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0" fontId="5" fillId="2" borderId="7" xfId="2" applyFont="1" applyFill="1" applyBorder="1" applyAlignment="1">
      <alignment horizontal="center" vertical="top" wrapText="1"/>
    </xf>
    <xf numFmtId="0" fontId="6" fillId="3" borderId="11" xfId="2" applyFont="1" applyFill="1" applyBorder="1" applyAlignment="1">
      <alignment horizontal="left" vertical="top"/>
    </xf>
    <xf numFmtId="0" fontId="9" fillId="4" borderId="11" xfId="2" applyFont="1" applyFill="1" applyBorder="1" applyAlignment="1">
      <alignment horizontal="left" vertical="top"/>
    </xf>
    <xf numFmtId="0" fontId="8" fillId="5" borderId="5" xfId="2" applyFont="1" applyFill="1" applyBorder="1" applyAlignment="1">
      <alignment horizontal="left" vertical="top" wrapText="1"/>
    </xf>
    <xf numFmtId="0" fontId="8" fillId="5" borderId="6" xfId="2" applyFont="1" applyFill="1" applyBorder="1" applyAlignment="1">
      <alignment horizontal="left" vertical="top" wrapText="1"/>
    </xf>
    <xf numFmtId="0" fontId="8" fillId="12" borderId="13" xfId="2" applyFont="1" applyFill="1" applyBorder="1" applyAlignment="1">
      <alignment horizontal="left" vertical="center"/>
    </xf>
    <xf numFmtId="0" fontId="8" fillId="12" borderId="14" xfId="2" applyFont="1" applyFill="1" applyBorder="1" applyAlignment="1">
      <alignment horizontal="left" vertical="center"/>
    </xf>
    <xf numFmtId="0" fontId="8" fillId="5" borderId="13" xfId="2" applyFont="1" applyFill="1" applyBorder="1" applyAlignment="1">
      <alignment horizontal="left" vertical="top" wrapText="1"/>
    </xf>
    <xf numFmtId="0" fontId="8" fillId="5" borderId="14" xfId="2" applyFont="1" applyFill="1" applyBorder="1" applyAlignment="1">
      <alignment horizontal="left" vertical="top" wrapText="1"/>
    </xf>
    <xf numFmtId="0" fontId="8" fillId="5" borderId="13" xfId="2" applyFont="1" applyFill="1" applyBorder="1" applyAlignment="1">
      <alignment vertical="top" wrapText="1"/>
    </xf>
    <xf numFmtId="0" fontId="8" fillId="5" borderId="14" xfId="2" applyFont="1" applyFill="1" applyBorder="1" applyAlignment="1">
      <alignment vertical="top" wrapText="1"/>
    </xf>
    <xf numFmtId="0" fontId="8" fillId="5" borderId="13" xfId="4" applyFont="1" applyFill="1" applyBorder="1" applyAlignment="1">
      <alignment horizontal="left" vertical="top" wrapText="1"/>
    </xf>
    <xf numFmtId="0" fontId="8" fillId="5" borderId="14" xfId="4" applyFont="1" applyFill="1" applyBorder="1" applyAlignment="1">
      <alignment horizontal="left" vertical="top" wrapText="1"/>
    </xf>
    <xf numFmtId="0" fontId="3" fillId="0" borderId="0" xfId="2" applyFont="1" applyAlignment="1">
      <alignment horizontal="center"/>
    </xf>
    <xf numFmtId="0" fontId="5" fillId="2" borderId="2" xfId="2" applyFont="1" applyFill="1" applyBorder="1" applyAlignment="1">
      <alignment horizontal="center" vertical="top"/>
    </xf>
    <xf numFmtId="0" fontId="5" fillId="2" borderId="3" xfId="2" applyFont="1" applyFill="1" applyBorder="1" applyAlignment="1">
      <alignment horizontal="center" vertical="top"/>
    </xf>
    <xf numFmtId="0" fontId="5" fillId="2" borderId="4" xfId="2" applyFont="1" applyFill="1" applyBorder="1" applyAlignment="1">
      <alignment horizontal="center" vertical="top"/>
    </xf>
    <xf numFmtId="0" fontId="5" fillId="2" borderId="8" xfId="2" applyFont="1" applyFill="1" applyBorder="1" applyAlignment="1">
      <alignment horizontal="center" vertical="top"/>
    </xf>
    <xf numFmtId="0" fontId="5" fillId="2" borderId="9" xfId="2" applyFont="1" applyFill="1" applyBorder="1" applyAlignment="1">
      <alignment horizontal="center" vertical="top"/>
    </xf>
    <xf numFmtId="0" fontId="5" fillId="2" borderId="10" xfId="2" applyFont="1" applyFill="1" applyBorder="1" applyAlignment="1">
      <alignment horizontal="center" vertical="top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top" wrapText="1"/>
    </xf>
    <xf numFmtId="0" fontId="5" fillId="2" borderId="7" xfId="2" applyFont="1" applyFill="1" applyBorder="1" applyAlignment="1">
      <alignment horizontal="left" vertical="top" wrapText="1"/>
    </xf>
    <xf numFmtId="0" fontId="5" fillId="2" borderId="2" xfId="2" applyFont="1" applyFill="1" applyBorder="1" applyAlignment="1">
      <alignment horizontal="center" vertical="top" wrapText="1"/>
    </xf>
    <xf numFmtId="0" fontId="5" fillId="2" borderId="3" xfId="2" applyFont="1" applyFill="1" applyBorder="1" applyAlignment="1">
      <alignment horizontal="center" vertical="top" wrapText="1"/>
    </xf>
    <xf numFmtId="0" fontId="5" fillId="2" borderId="4" xfId="2" applyFont="1" applyFill="1" applyBorder="1" applyAlignment="1">
      <alignment horizontal="center" vertical="top" wrapText="1"/>
    </xf>
    <xf numFmtId="0" fontId="5" fillId="2" borderId="8" xfId="2" applyFont="1" applyFill="1" applyBorder="1" applyAlignment="1">
      <alignment horizontal="center" vertical="top" wrapText="1"/>
    </xf>
    <xf numFmtId="0" fontId="5" fillId="2" borderId="9" xfId="2" applyFont="1" applyFill="1" applyBorder="1" applyAlignment="1">
      <alignment horizontal="center" vertical="top" wrapText="1"/>
    </xf>
    <xf numFmtId="0" fontId="5" fillId="2" borderId="10" xfId="2" applyFont="1" applyFill="1" applyBorder="1" applyAlignment="1">
      <alignment horizontal="center" vertical="top" wrapText="1"/>
    </xf>
  </cellXfs>
  <cellStyles count="14">
    <cellStyle name="Comma [0]" xfId="1" builtinId="6"/>
    <cellStyle name="Comma [0] 2 11" xfId="10"/>
    <cellStyle name="Comma [0] 2 2" xfId="12"/>
    <cellStyle name="Comma [0] 33" xfId="6"/>
    <cellStyle name="Comma 2" xfId="13"/>
    <cellStyle name="Normal" xfId="0" builtinId="0"/>
    <cellStyle name="Normal 10 2" xfId="4"/>
    <cellStyle name="Normal 19 2" xfId="7"/>
    <cellStyle name="Normal 19 6" xfId="3"/>
    <cellStyle name="Normal 2" xfId="5"/>
    <cellStyle name="Normal 28 3" xfId="2"/>
    <cellStyle name="Normal 29" xfId="8"/>
    <cellStyle name="Normal 4 2" xfId="9"/>
    <cellStyle name="Normal 5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" name="Text Box 1">
          <a:extLst>
            <a:ext uri="{FF2B5EF4-FFF2-40B4-BE49-F238E27FC236}">
              <a16:creationId xmlns="" xmlns:a16="http://schemas.microsoft.com/office/drawing/2014/main" id="{00000000-0008-0000-0100-0000D2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" name="Text Box 1">
          <a:extLst>
            <a:ext uri="{FF2B5EF4-FFF2-40B4-BE49-F238E27FC236}">
              <a16:creationId xmlns="" xmlns:a16="http://schemas.microsoft.com/office/drawing/2014/main" id="{00000000-0008-0000-0100-0000D3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" name="Text Box 1">
          <a:extLst>
            <a:ext uri="{FF2B5EF4-FFF2-40B4-BE49-F238E27FC236}">
              <a16:creationId xmlns="" xmlns:a16="http://schemas.microsoft.com/office/drawing/2014/main" id="{00000000-0008-0000-0100-0000D4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" name="Text Box 1">
          <a:extLst>
            <a:ext uri="{FF2B5EF4-FFF2-40B4-BE49-F238E27FC236}">
              <a16:creationId xmlns="" xmlns:a16="http://schemas.microsoft.com/office/drawing/2014/main" id="{00000000-0008-0000-0100-0000D5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" name="Text Box 1">
          <a:extLst>
            <a:ext uri="{FF2B5EF4-FFF2-40B4-BE49-F238E27FC236}">
              <a16:creationId xmlns="" xmlns:a16="http://schemas.microsoft.com/office/drawing/2014/main" id="{00000000-0008-0000-0100-0000D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" name="Text Box 1">
          <a:extLst>
            <a:ext uri="{FF2B5EF4-FFF2-40B4-BE49-F238E27FC236}">
              <a16:creationId xmlns="" xmlns:a16="http://schemas.microsoft.com/office/drawing/2014/main" id="{00000000-0008-0000-0100-0000D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" name="Text Box 1">
          <a:extLst>
            <a:ext uri="{FF2B5EF4-FFF2-40B4-BE49-F238E27FC236}">
              <a16:creationId xmlns="" xmlns:a16="http://schemas.microsoft.com/office/drawing/2014/main" id="{00000000-0008-0000-0100-0000D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" name="Text Box 1">
          <a:extLst>
            <a:ext uri="{FF2B5EF4-FFF2-40B4-BE49-F238E27FC236}">
              <a16:creationId xmlns="" xmlns:a16="http://schemas.microsoft.com/office/drawing/2014/main" id="{00000000-0008-0000-0100-0000D9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" name="Text Box 1">
          <a:extLst>
            <a:ext uri="{FF2B5EF4-FFF2-40B4-BE49-F238E27FC236}">
              <a16:creationId xmlns="" xmlns:a16="http://schemas.microsoft.com/office/drawing/2014/main" id="{00000000-0008-0000-0100-0000DA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" name="Text Box 1">
          <a:extLst>
            <a:ext uri="{FF2B5EF4-FFF2-40B4-BE49-F238E27FC236}">
              <a16:creationId xmlns="" xmlns:a16="http://schemas.microsoft.com/office/drawing/2014/main" id="{00000000-0008-0000-0100-0000DB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" name="Text Box 1">
          <a:extLst>
            <a:ext uri="{FF2B5EF4-FFF2-40B4-BE49-F238E27FC236}">
              <a16:creationId xmlns="" xmlns:a16="http://schemas.microsoft.com/office/drawing/2014/main" id="{00000000-0008-0000-0100-0000DC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" name="Text Box 1">
          <a:extLst>
            <a:ext uri="{FF2B5EF4-FFF2-40B4-BE49-F238E27FC236}">
              <a16:creationId xmlns="" xmlns:a16="http://schemas.microsoft.com/office/drawing/2014/main" id="{00000000-0008-0000-0100-0000DD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" name="Text Box 1">
          <a:extLst>
            <a:ext uri="{FF2B5EF4-FFF2-40B4-BE49-F238E27FC236}">
              <a16:creationId xmlns="" xmlns:a16="http://schemas.microsoft.com/office/drawing/2014/main" id="{00000000-0008-0000-0100-0000DE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" name="Text Box 1">
          <a:extLst>
            <a:ext uri="{FF2B5EF4-FFF2-40B4-BE49-F238E27FC236}">
              <a16:creationId xmlns="" xmlns:a16="http://schemas.microsoft.com/office/drawing/2014/main" id="{00000000-0008-0000-0100-0000DF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" name="Text Box 1">
          <a:extLst>
            <a:ext uri="{FF2B5EF4-FFF2-40B4-BE49-F238E27FC236}">
              <a16:creationId xmlns="" xmlns:a16="http://schemas.microsoft.com/office/drawing/2014/main" id="{00000000-0008-0000-0100-0000E0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" name="Text Box 1">
          <a:extLst>
            <a:ext uri="{FF2B5EF4-FFF2-40B4-BE49-F238E27FC236}">
              <a16:creationId xmlns="" xmlns:a16="http://schemas.microsoft.com/office/drawing/2014/main" id="{00000000-0008-0000-0100-0000E1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" name="Text Box 1">
          <a:extLst>
            <a:ext uri="{FF2B5EF4-FFF2-40B4-BE49-F238E27FC236}">
              <a16:creationId xmlns="" xmlns:a16="http://schemas.microsoft.com/office/drawing/2014/main" id="{00000000-0008-0000-0100-0000E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" name="Text Box 1">
          <a:extLst>
            <a:ext uri="{FF2B5EF4-FFF2-40B4-BE49-F238E27FC236}">
              <a16:creationId xmlns="" xmlns:a16="http://schemas.microsoft.com/office/drawing/2014/main" id="{00000000-0008-0000-0100-0000E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" name="Text Box 1">
          <a:extLst>
            <a:ext uri="{FF2B5EF4-FFF2-40B4-BE49-F238E27FC236}">
              <a16:creationId xmlns="" xmlns:a16="http://schemas.microsoft.com/office/drawing/2014/main" id="{00000000-0008-0000-0100-0000E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" name="Text Box 1">
          <a:extLst>
            <a:ext uri="{FF2B5EF4-FFF2-40B4-BE49-F238E27FC236}">
              <a16:creationId xmlns="" xmlns:a16="http://schemas.microsoft.com/office/drawing/2014/main" id="{00000000-0008-0000-0100-0000E9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" name="Text Box 1">
          <a:extLst>
            <a:ext uri="{FF2B5EF4-FFF2-40B4-BE49-F238E27FC236}">
              <a16:creationId xmlns="" xmlns:a16="http://schemas.microsoft.com/office/drawing/2014/main" id="{00000000-0008-0000-0100-0000EA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" name="Text Box 1">
          <a:extLst>
            <a:ext uri="{FF2B5EF4-FFF2-40B4-BE49-F238E27FC236}">
              <a16:creationId xmlns="" xmlns:a16="http://schemas.microsoft.com/office/drawing/2014/main" id="{00000000-0008-0000-0100-0000EB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" name="Text Box 1">
          <a:extLst>
            <a:ext uri="{FF2B5EF4-FFF2-40B4-BE49-F238E27FC236}">
              <a16:creationId xmlns="" xmlns:a16="http://schemas.microsoft.com/office/drawing/2014/main" id="{00000000-0008-0000-0100-0000EC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" name="Text Box 1">
          <a:extLst>
            <a:ext uri="{FF2B5EF4-FFF2-40B4-BE49-F238E27FC236}">
              <a16:creationId xmlns="" xmlns:a16="http://schemas.microsoft.com/office/drawing/2014/main" id="{00000000-0008-0000-0100-0000ED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" name="Text Box 1">
          <a:extLst>
            <a:ext uri="{FF2B5EF4-FFF2-40B4-BE49-F238E27FC236}">
              <a16:creationId xmlns="" xmlns:a16="http://schemas.microsoft.com/office/drawing/2014/main" id="{00000000-0008-0000-0100-0000F2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" name="Text Box 1">
          <a:extLst>
            <a:ext uri="{FF2B5EF4-FFF2-40B4-BE49-F238E27FC236}">
              <a16:creationId xmlns="" xmlns:a16="http://schemas.microsoft.com/office/drawing/2014/main" id="{00000000-0008-0000-0100-0000F3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" name="Text Box 1">
          <a:extLst>
            <a:ext uri="{FF2B5EF4-FFF2-40B4-BE49-F238E27FC236}">
              <a16:creationId xmlns="" xmlns:a16="http://schemas.microsoft.com/office/drawing/2014/main" id="{00000000-0008-0000-0100-0000F4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9" name="Text Box 1">
          <a:extLst>
            <a:ext uri="{FF2B5EF4-FFF2-40B4-BE49-F238E27FC236}">
              <a16:creationId xmlns="" xmlns:a16="http://schemas.microsoft.com/office/drawing/2014/main" id="{00000000-0008-0000-0100-0000F5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0" name="Text Box 1">
          <a:extLst>
            <a:ext uri="{FF2B5EF4-FFF2-40B4-BE49-F238E27FC236}">
              <a16:creationId xmlns="" xmlns:a16="http://schemas.microsoft.com/office/drawing/2014/main" id="{00000000-0008-0000-0100-0000F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1" name="Text Box 1">
          <a:extLst>
            <a:ext uri="{FF2B5EF4-FFF2-40B4-BE49-F238E27FC236}">
              <a16:creationId xmlns="" xmlns:a16="http://schemas.microsoft.com/office/drawing/2014/main" id="{00000000-0008-0000-0100-0000F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2" name="Text Box 1">
          <a:extLst>
            <a:ext uri="{FF2B5EF4-FFF2-40B4-BE49-F238E27FC236}">
              <a16:creationId xmlns="" xmlns:a16="http://schemas.microsoft.com/office/drawing/2014/main" id="{00000000-0008-0000-0100-0000F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3" name="Text Box 1">
          <a:extLst>
            <a:ext uri="{FF2B5EF4-FFF2-40B4-BE49-F238E27FC236}">
              <a16:creationId xmlns="" xmlns:a16="http://schemas.microsoft.com/office/drawing/2014/main" id="{00000000-0008-0000-0100-00005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4" name="Text Box 1">
          <a:extLst>
            <a:ext uri="{FF2B5EF4-FFF2-40B4-BE49-F238E27FC236}">
              <a16:creationId xmlns="" xmlns:a16="http://schemas.microsoft.com/office/drawing/2014/main" id="{00000000-0008-0000-0100-00005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5" name="Text Box 1">
          <a:extLst>
            <a:ext uri="{FF2B5EF4-FFF2-40B4-BE49-F238E27FC236}">
              <a16:creationId xmlns="" xmlns:a16="http://schemas.microsoft.com/office/drawing/2014/main" id="{00000000-0008-0000-0100-00005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6" name="Text Box 1">
          <a:extLst>
            <a:ext uri="{FF2B5EF4-FFF2-40B4-BE49-F238E27FC236}">
              <a16:creationId xmlns="" xmlns:a16="http://schemas.microsoft.com/office/drawing/2014/main" id="{00000000-0008-0000-0100-00005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7" name="Text Box 1">
          <a:extLst>
            <a:ext uri="{FF2B5EF4-FFF2-40B4-BE49-F238E27FC236}">
              <a16:creationId xmlns="" xmlns:a16="http://schemas.microsoft.com/office/drawing/2014/main" id="{00000000-0008-0000-0100-00005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8" name="Text Box 1">
          <a:extLst>
            <a:ext uri="{FF2B5EF4-FFF2-40B4-BE49-F238E27FC236}">
              <a16:creationId xmlns="" xmlns:a16="http://schemas.microsoft.com/office/drawing/2014/main" id="{00000000-0008-0000-0100-00005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39" name="Text Box 1">
          <a:extLst>
            <a:ext uri="{FF2B5EF4-FFF2-40B4-BE49-F238E27FC236}">
              <a16:creationId xmlns="" xmlns:a16="http://schemas.microsoft.com/office/drawing/2014/main" id="{00000000-0008-0000-0100-00005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0" name="Text Box 1">
          <a:extLst>
            <a:ext uri="{FF2B5EF4-FFF2-40B4-BE49-F238E27FC236}">
              <a16:creationId xmlns="" xmlns:a16="http://schemas.microsoft.com/office/drawing/2014/main" id="{00000000-0008-0000-0100-00005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1" name="Text Box 1">
          <a:extLst>
            <a:ext uri="{FF2B5EF4-FFF2-40B4-BE49-F238E27FC236}">
              <a16:creationId xmlns="" xmlns:a16="http://schemas.microsoft.com/office/drawing/2014/main" id="{00000000-0008-0000-0100-00005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2" name="Text Box 1">
          <a:extLst>
            <a:ext uri="{FF2B5EF4-FFF2-40B4-BE49-F238E27FC236}">
              <a16:creationId xmlns="" xmlns:a16="http://schemas.microsoft.com/office/drawing/2014/main" id="{00000000-0008-0000-0100-00005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3" name="Text Box 1">
          <a:extLst>
            <a:ext uri="{FF2B5EF4-FFF2-40B4-BE49-F238E27FC236}">
              <a16:creationId xmlns="" xmlns:a16="http://schemas.microsoft.com/office/drawing/2014/main" id="{00000000-0008-0000-0100-00005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4" name="Text Box 1">
          <a:extLst>
            <a:ext uri="{FF2B5EF4-FFF2-40B4-BE49-F238E27FC236}">
              <a16:creationId xmlns="" xmlns:a16="http://schemas.microsoft.com/office/drawing/2014/main" id="{00000000-0008-0000-0100-00005B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5" name="Text Box 1">
          <a:extLst>
            <a:ext uri="{FF2B5EF4-FFF2-40B4-BE49-F238E27FC236}">
              <a16:creationId xmlns="" xmlns:a16="http://schemas.microsoft.com/office/drawing/2014/main" id="{00000000-0008-0000-0100-00005C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6" name="Text Box 1">
          <a:extLst>
            <a:ext uri="{FF2B5EF4-FFF2-40B4-BE49-F238E27FC236}">
              <a16:creationId xmlns="" xmlns:a16="http://schemas.microsoft.com/office/drawing/2014/main" id="{00000000-0008-0000-0100-00005D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7" name="Text Box 1">
          <a:extLst>
            <a:ext uri="{FF2B5EF4-FFF2-40B4-BE49-F238E27FC236}">
              <a16:creationId xmlns="" xmlns:a16="http://schemas.microsoft.com/office/drawing/2014/main" id="{00000000-0008-0000-0100-00005E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8" name="Text Box 1">
          <a:extLst>
            <a:ext uri="{FF2B5EF4-FFF2-40B4-BE49-F238E27FC236}">
              <a16:creationId xmlns="" xmlns:a16="http://schemas.microsoft.com/office/drawing/2014/main" id="{00000000-0008-0000-0100-00006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49" name="Text Box 1">
          <a:extLst>
            <a:ext uri="{FF2B5EF4-FFF2-40B4-BE49-F238E27FC236}">
              <a16:creationId xmlns="" xmlns:a16="http://schemas.microsoft.com/office/drawing/2014/main" id="{00000000-0008-0000-0100-00006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0" name="Text Box 1">
          <a:extLst>
            <a:ext uri="{FF2B5EF4-FFF2-40B4-BE49-F238E27FC236}">
              <a16:creationId xmlns="" xmlns:a16="http://schemas.microsoft.com/office/drawing/2014/main" id="{00000000-0008-0000-0100-00006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1" name="Text Box 1">
          <a:extLst>
            <a:ext uri="{FF2B5EF4-FFF2-40B4-BE49-F238E27FC236}">
              <a16:creationId xmlns="" xmlns:a16="http://schemas.microsoft.com/office/drawing/2014/main" id="{00000000-0008-0000-0100-00006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2" name="Text Box 1">
          <a:extLst>
            <a:ext uri="{FF2B5EF4-FFF2-40B4-BE49-F238E27FC236}">
              <a16:creationId xmlns="" xmlns:a16="http://schemas.microsoft.com/office/drawing/2014/main" id="{00000000-0008-0000-0100-00006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3" name="Text Box 1">
          <a:extLst>
            <a:ext uri="{FF2B5EF4-FFF2-40B4-BE49-F238E27FC236}">
              <a16:creationId xmlns="" xmlns:a16="http://schemas.microsoft.com/office/drawing/2014/main" id="{00000000-0008-0000-0100-00006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4" name="Text Box 1">
          <a:extLst>
            <a:ext uri="{FF2B5EF4-FFF2-40B4-BE49-F238E27FC236}">
              <a16:creationId xmlns="" xmlns:a16="http://schemas.microsoft.com/office/drawing/2014/main" id="{00000000-0008-0000-0100-00006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5" name="Text Box 1">
          <a:extLst>
            <a:ext uri="{FF2B5EF4-FFF2-40B4-BE49-F238E27FC236}">
              <a16:creationId xmlns="" xmlns:a16="http://schemas.microsoft.com/office/drawing/2014/main" id="{00000000-0008-0000-0100-00006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6" name="Text Box 1">
          <a:extLst>
            <a:ext uri="{FF2B5EF4-FFF2-40B4-BE49-F238E27FC236}">
              <a16:creationId xmlns="" xmlns:a16="http://schemas.microsoft.com/office/drawing/2014/main" id="{00000000-0008-0000-0100-00006F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7" name="Text Box 1">
          <a:extLst>
            <a:ext uri="{FF2B5EF4-FFF2-40B4-BE49-F238E27FC236}">
              <a16:creationId xmlns="" xmlns:a16="http://schemas.microsoft.com/office/drawing/2014/main" id="{00000000-0008-0000-0100-00007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8" name="Text Box 1">
          <a:extLst>
            <a:ext uri="{FF2B5EF4-FFF2-40B4-BE49-F238E27FC236}">
              <a16:creationId xmlns="" xmlns:a16="http://schemas.microsoft.com/office/drawing/2014/main" id="{00000000-0008-0000-0100-00007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59" name="Text Box 1">
          <a:extLst>
            <a:ext uri="{FF2B5EF4-FFF2-40B4-BE49-F238E27FC236}">
              <a16:creationId xmlns="" xmlns:a16="http://schemas.microsoft.com/office/drawing/2014/main" id="{00000000-0008-0000-0100-00007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0" name="Text Box 1">
          <a:extLst>
            <a:ext uri="{FF2B5EF4-FFF2-40B4-BE49-F238E27FC236}">
              <a16:creationId xmlns="" xmlns:a16="http://schemas.microsoft.com/office/drawing/2014/main" id="{00000000-0008-0000-0100-00007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1" name="Text Box 1">
          <a:extLst>
            <a:ext uri="{FF2B5EF4-FFF2-40B4-BE49-F238E27FC236}">
              <a16:creationId xmlns="" xmlns:a16="http://schemas.microsoft.com/office/drawing/2014/main" id="{00000000-0008-0000-0100-00007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2" name="Text Box 1">
          <a:extLst>
            <a:ext uri="{FF2B5EF4-FFF2-40B4-BE49-F238E27FC236}">
              <a16:creationId xmlns="" xmlns:a16="http://schemas.microsoft.com/office/drawing/2014/main" id="{00000000-0008-0000-0100-00007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3" name="Text Box 1">
          <a:extLst>
            <a:ext uri="{FF2B5EF4-FFF2-40B4-BE49-F238E27FC236}">
              <a16:creationId xmlns="" xmlns:a16="http://schemas.microsoft.com/office/drawing/2014/main" id="{00000000-0008-0000-0100-0000D2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4" name="Text Box 1">
          <a:extLst>
            <a:ext uri="{FF2B5EF4-FFF2-40B4-BE49-F238E27FC236}">
              <a16:creationId xmlns="" xmlns:a16="http://schemas.microsoft.com/office/drawing/2014/main" id="{00000000-0008-0000-0100-0000D3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5" name="Text Box 1">
          <a:extLst>
            <a:ext uri="{FF2B5EF4-FFF2-40B4-BE49-F238E27FC236}">
              <a16:creationId xmlns="" xmlns:a16="http://schemas.microsoft.com/office/drawing/2014/main" id="{00000000-0008-0000-0100-0000D4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6" name="Text Box 1">
          <a:extLst>
            <a:ext uri="{FF2B5EF4-FFF2-40B4-BE49-F238E27FC236}">
              <a16:creationId xmlns="" xmlns:a16="http://schemas.microsoft.com/office/drawing/2014/main" id="{00000000-0008-0000-0100-0000D5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7" name="Text Box 1">
          <a:extLst>
            <a:ext uri="{FF2B5EF4-FFF2-40B4-BE49-F238E27FC236}">
              <a16:creationId xmlns="" xmlns:a16="http://schemas.microsoft.com/office/drawing/2014/main" id="{00000000-0008-0000-0100-0000D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8" name="Text Box 1">
          <a:extLst>
            <a:ext uri="{FF2B5EF4-FFF2-40B4-BE49-F238E27FC236}">
              <a16:creationId xmlns="" xmlns:a16="http://schemas.microsoft.com/office/drawing/2014/main" id="{00000000-0008-0000-0100-0000D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69" name="Text Box 1">
          <a:extLst>
            <a:ext uri="{FF2B5EF4-FFF2-40B4-BE49-F238E27FC236}">
              <a16:creationId xmlns="" xmlns:a16="http://schemas.microsoft.com/office/drawing/2014/main" id="{00000000-0008-0000-0100-0000D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0" name="Text Box 1">
          <a:extLst>
            <a:ext uri="{FF2B5EF4-FFF2-40B4-BE49-F238E27FC236}">
              <a16:creationId xmlns="" xmlns:a16="http://schemas.microsoft.com/office/drawing/2014/main" id="{00000000-0008-0000-0100-0000D9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1" name="Text Box 1">
          <a:extLst>
            <a:ext uri="{FF2B5EF4-FFF2-40B4-BE49-F238E27FC236}">
              <a16:creationId xmlns="" xmlns:a16="http://schemas.microsoft.com/office/drawing/2014/main" id="{00000000-0008-0000-0100-0000DA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2" name="Text Box 1">
          <a:extLst>
            <a:ext uri="{FF2B5EF4-FFF2-40B4-BE49-F238E27FC236}">
              <a16:creationId xmlns="" xmlns:a16="http://schemas.microsoft.com/office/drawing/2014/main" id="{00000000-0008-0000-0100-0000DB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3" name="Text Box 1">
          <a:extLst>
            <a:ext uri="{FF2B5EF4-FFF2-40B4-BE49-F238E27FC236}">
              <a16:creationId xmlns="" xmlns:a16="http://schemas.microsoft.com/office/drawing/2014/main" id="{00000000-0008-0000-0100-0000DC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4" name="Text Box 1">
          <a:extLst>
            <a:ext uri="{FF2B5EF4-FFF2-40B4-BE49-F238E27FC236}">
              <a16:creationId xmlns="" xmlns:a16="http://schemas.microsoft.com/office/drawing/2014/main" id="{00000000-0008-0000-0100-0000DD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5" name="Text Box 1">
          <a:extLst>
            <a:ext uri="{FF2B5EF4-FFF2-40B4-BE49-F238E27FC236}">
              <a16:creationId xmlns="" xmlns:a16="http://schemas.microsoft.com/office/drawing/2014/main" id="{00000000-0008-0000-0100-0000DE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6" name="Text Box 1">
          <a:extLst>
            <a:ext uri="{FF2B5EF4-FFF2-40B4-BE49-F238E27FC236}">
              <a16:creationId xmlns="" xmlns:a16="http://schemas.microsoft.com/office/drawing/2014/main" id="{00000000-0008-0000-0100-0000DF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7" name="Text Box 1">
          <a:extLst>
            <a:ext uri="{FF2B5EF4-FFF2-40B4-BE49-F238E27FC236}">
              <a16:creationId xmlns="" xmlns:a16="http://schemas.microsoft.com/office/drawing/2014/main" id="{00000000-0008-0000-0100-0000E0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8" name="Text Box 1">
          <a:extLst>
            <a:ext uri="{FF2B5EF4-FFF2-40B4-BE49-F238E27FC236}">
              <a16:creationId xmlns="" xmlns:a16="http://schemas.microsoft.com/office/drawing/2014/main" id="{00000000-0008-0000-0100-0000E1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79" name="Text Box 1">
          <a:extLst>
            <a:ext uri="{FF2B5EF4-FFF2-40B4-BE49-F238E27FC236}">
              <a16:creationId xmlns="" xmlns:a16="http://schemas.microsoft.com/office/drawing/2014/main" id="{00000000-0008-0000-0100-0000E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0" name="Text Box 1">
          <a:extLst>
            <a:ext uri="{FF2B5EF4-FFF2-40B4-BE49-F238E27FC236}">
              <a16:creationId xmlns="" xmlns:a16="http://schemas.microsoft.com/office/drawing/2014/main" id="{00000000-0008-0000-0100-0000E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1" name="Text Box 1">
          <a:extLst>
            <a:ext uri="{FF2B5EF4-FFF2-40B4-BE49-F238E27FC236}">
              <a16:creationId xmlns="" xmlns:a16="http://schemas.microsoft.com/office/drawing/2014/main" id="{00000000-0008-0000-0100-0000E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2" name="Text Box 1">
          <a:extLst>
            <a:ext uri="{FF2B5EF4-FFF2-40B4-BE49-F238E27FC236}">
              <a16:creationId xmlns="" xmlns:a16="http://schemas.microsoft.com/office/drawing/2014/main" id="{00000000-0008-0000-0100-0000E9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3" name="Text Box 1">
          <a:extLst>
            <a:ext uri="{FF2B5EF4-FFF2-40B4-BE49-F238E27FC236}">
              <a16:creationId xmlns="" xmlns:a16="http://schemas.microsoft.com/office/drawing/2014/main" id="{00000000-0008-0000-0100-0000EA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4" name="Text Box 1">
          <a:extLst>
            <a:ext uri="{FF2B5EF4-FFF2-40B4-BE49-F238E27FC236}">
              <a16:creationId xmlns="" xmlns:a16="http://schemas.microsoft.com/office/drawing/2014/main" id="{00000000-0008-0000-0100-0000EB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5" name="Text Box 1">
          <a:extLst>
            <a:ext uri="{FF2B5EF4-FFF2-40B4-BE49-F238E27FC236}">
              <a16:creationId xmlns="" xmlns:a16="http://schemas.microsoft.com/office/drawing/2014/main" id="{00000000-0008-0000-0100-0000EC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6" name="Text Box 1">
          <a:extLst>
            <a:ext uri="{FF2B5EF4-FFF2-40B4-BE49-F238E27FC236}">
              <a16:creationId xmlns="" xmlns:a16="http://schemas.microsoft.com/office/drawing/2014/main" id="{00000000-0008-0000-0100-0000ED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7" name="Text Box 1">
          <a:extLst>
            <a:ext uri="{FF2B5EF4-FFF2-40B4-BE49-F238E27FC236}">
              <a16:creationId xmlns="" xmlns:a16="http://schemas.microsoft.com/office/drawing/2014/main" id="{00000000-0008-0000-0100-0000F2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8" name="Text Box 1">
          <a:extLst>
            <a:ext uri="{FF2B5EF4-FFF2-40B4-BE49-F238E27FC236}">
              <a16:creationId xmlns="" xmlns:a16="http://schemas.microsoft.com/office/drawing/2014/main" id="{00000000-0008-0000-0100-0000F3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89" name="Text Box 1">
          <a:extLst>
            <a:ext uri="{FF2B5EF4-FFF2-40B4-BE49-F238E27FC236}">
              <a16:creationId xmlns="" xmlns:a16="http://schemas.microsoft.com/office/drawing/2014/main" id="{00000000-0008-0000-0100-0000F4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0" name="Text Box 1">
          <a:extLst>
            <a:ext uri="{FF2B5EF4-FFF2-40B4-BE49-F238E27FC236}">
              <a16:creationId xmlns="" xmlns:a16="http://schemas.microsoft.com/office/drawing/2014/main" id="{00000000-0008-0000-0100-0000F5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1" name="Text Box 1">
          <a:extLst>
            <a:ext uri="{FF2B5EF4-FFF2-40B4-BE49-F238E27FC236}">
              <a16:creationId xmlns="" xmlns:a16="http://schemas.microsoft.com/office/drawing/2014/main" id="{00000000-0008-0000-0100-0000F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2" name="Text Box 1">
          <a:extLst>
            <a:ext uri="{FF2B5EF4-FFF2-40B4-BE49-F238E27FC236}">
              <a16:creationId xmlns="" xmlns:a16="http://schemas.microsoft.com/office/drawing/2014/main" id="{00000000-0008-0000-0100-0000F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3" name="Text Box 1">
          <a:extLst>
            <a:ext uri="{FF2B5EF4-FFF2-40B4-BE49-F238E27FC236}">
              <a16:creationId xmlns="" xmlns:a16="http://schemas.microsoft.com/office/drawing/2014/main" id="{00000000-0008-0000-0100-0000F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4" name="Text Box 1">
          <a:extLst>
            <a:ext uri="{FF2B5EF4-FFF2-40B4-BE49-F238E27FC236}">
              <a16:creationId xmlns="" xmlns:a16="http://schemas.microsoft.com/office/drawing/2014/main" id="{00000000-0008-0000-0100-00005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5" name="Text Box 1">
          <a:extLst>
            <a:ext uri="{FF2B5EF4-FFF2-40B4-BE49-F238E27FC236}">
              <a16:creationId xmlns="" xmlns:a16="http://schemas.microsoft.com/office/drawing/2014/main" id="{00000000-0008-0000-0100-00005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6" name="Text Box 1">
          <a:extLst>
            <a:ext uri="{FF2B5EF4-FFF2-40B4-BE49-F238E27FC236}">
              <a16:creationId xmlns="" xmlns:a16="http://schemas.microsoft.com/office/drawing/2014/main" id="{00000000-0008-0000-0100-00005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7" name="Text Box 1">
          <a:extLst>
            <a:ext uri="{FF2B5EF4-FFF2-40B4-BE49-F238E27FC236}">
              <a16:creationId xmlns="" xmlns:a16="http://schemas.microsoft.com/office/drawing/2014/main" id="{00000000-0008-0000-0100-00005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8" name="Text Box 1">
          <a:extLst>
            <a:ext uri="{FF2B5EF4-FFF2-40B4-BE49-F238E27FC236}">
              <a16:creationId xmlns="" xmlns:a16="http://schemas.microsoft.com/office/drawing/2014/main" id="{00000000-0008-0000-0100-00005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99" name="Text Box 1">
          <a:extLst>
            <a:ext uri="{FF2B5EF4-FFF2-40B4-BE49-F238E27FC236}">
              <a16:creationId xmlns="" xmlns:a16="http://schemas.microsoft.com/office/drawing/2014/main" id="{00000000-0008-0000-0100-00005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0" name="Text Box 1">
          <a:extLst>
            <a:ext uri="{FF2B5EF4-FFF2-40B4-BE49-F238E27FC236}">
              <a16:creationId xmlns="" xmlns:a16="http://schemas.microsoft.com/office/drawing/2014/main" id="{00000000-0008-0000-0100-00005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1" name="Text Box 1">
          <a:extLst>
            <a:ext uri="{FF2B5EF4-FFF2-40B4-BE49-F238E27FC236}">
              <a16:creationId xmlns="" xmlns:a16="http://schemas.microsoft.com/office/drawing/2014/main" id="{00000000-0008-0000-0100-00005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2" name="Text Box 1">
          <a:extLst>
            <a:ext uri="{FF2B5EF4-FFF2-40B4-BE49-F238E27FC236}">
              <a16:creationId xmlns="" xmlns:a16="http://schemas.microsoft.com/office/drawing/2014/main" id="{00000000-0008-0000-0100-00005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3" name="Text Box 1">
          <a:extLst>
            <a:ext uri="{FF2B5EF4-FFF2-40B4-BE49-F238E27FC236}">
              <a16:creationId xmlns="" xmlns:a16="http://schemas.microsoft.com/office/drawing/2014/main" id="{00000000-0008-0000-0100-00005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4" name="Text Box 1">
          <a:extLst>
            <a:ext uri="{FF2B5EF4-FFF2-40B4-BE49-F238E27FC236}">
              <a16:creationId xmlns="" xmlns:a16="http://schemas.microsoft.com/office/drawing/2014/main" id="{00000000-0008-0000-0100-00005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5" name="Text Box 1">
          <a:extLst>
            <a:ext uri="{FF2B5EF4-FFF2-40B4-BE49-F238E27FC236}">
              <a16:creationId xmlns="" xmlns:a16="http://schemas.microsoft.com/office/drawing/2014/main" id="{00000000-0008-0000-0100-00005B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6" name="Text Box 1">
          <a:extLst>
            <a:ext uri="{FF2B5EF4-FFF2-40B4-BE49-F238E27FC236}">
              <a16:creationId xmlns="" xmlns:a16="http://schemas.microsoft.com/office/drawing/2014/main" id="{00000000-0008-0000-0100-00005C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7" name="Text Box 1">
          <a:extLst>
            <a:ext uri="{FF2B5EF4-FFF2-40B4-BE49-F238E27FC236}">
              <a16:creationId xmlns="" xmlns:a16="http://schemas.microsoft.com/office/drawing/2014/main" id="{00000000-0008-0000-0100-00005D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8" name="Text Box 1">
          <a:extLst>
            <a:ext uri="{FF2B5EF4-FFF2-40B4-BE49-F238E27FC236}">
              <a16:creationId xmlns="" xmlns:a16="http://schemas.microsoft.com/office/drawing/2014/main" id="{00000000-0008-0000-0100-00005E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09" name="Text Box 1">
          <a:extLst>
            <a:ext uri="{FF2B5EF4-FFF2-40B4-BE49-F238E27FC236}">
              <a16:creationId xmlns="" xmlns:a16="http://schemas.microsoft.com/office/drawing/2014/main" id="{00000000-0008-0000-0100-00006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0" name="Text Box 1">
          <a:extLst>
            <a:ext uri="{FF2B5EF4-FFF2-40B4-BE49-F238E27FC236}">
              <a16:creationId xmlns="" xmlns:a16="http://schemas.microsoft.com/office/drawing/2014/main" id="{00000000-0008-0000-0100-00006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1" name="Text Box 1">
          <a:extLst>
            <a:ext uri="{FF2B5EF4-FFF2-40B4-BE49-F238E27FC236}">
              <a16:creationId xmlns="" xmlns:a16="http://schemas.microsoft.com/office/drawing/2014/main" id="{00000000-0008-0000-0100-00006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2" name="Text Box 1">
          <a:extLst>
            <a:ext uri="{FF2B5EF4-FFF2-40B4-BE49-F238E27FC236}">
              <a16:creationId xmlns="" xmlns:a16="http://schemas.microsoft.com/office/drawing/2014/main" id="{00000000-0008-0000-0100-00006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3" name="Text Box 1">
          <a:extLst>
            <a:ext uri="{FF2B5EF4-FFF2-40B4-BE49-F238E27FC236}">
              <a16:creationId xmlns="" xmlns:a16="http://schemas.microsoft.com/office/drawing/2014/main" id="{00000000-0008-0000-0100-00006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4" name="Text Box 1">
          <a:extLst>
            <a:ext uri="{FF2B5EF4-FFF2-40B4-BE49-F238E27FC236}">
              <a16:creationId xmlns="" xmlns:a16="http://schemas.microsoft.com/office/drawing/2014/main" id="{00000000-0008-0000-0100-00006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5" name="Text Box 1">
          <a:extLst>
            <a:ext uri="{FF2B5EF4-FFF2-40B4-BE49-F238E27FC236}">
              <a16:creationId xmlns="" xmlns:a16="http://schemas.microsoft.com/office/drawing/2014/main" id="{00000000-0008-0000-0100-00006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6" name="Text Box 1">
          <a:extLst>
            <a:ext uri="{FF2B5EF4-FFF2-40B4-BE49-F238E27FC236}">
              <a16:creationId xmlns="" xmlns:a16="http://schemas.microsoft.com/office/drawing/2014/main" id="{00000000-0008-0000-0100-00006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7" name="Text Box 1">
          <a:extLst>
            <a:ext uri="{FF2B5EF4-FFF2-40B4-BE49-F238E27FC236}">
              <a16:creationId xmlns="" xmlns:a16="http://schemas.microsoft.com/office/drawing/2014/main" id="{00000000-0008-0000-0100-00006F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8" name="Text Box 1">
          <a:extLst>
            <a:ext uri="{FF2B5EF4-FFF2-40B4-BE49-F238E27FC236}">
              <a16:creationId xmlns="" xmlns:a16="http://schemas.microsoft.com/office/drawing/2014/main" id="{00000000-0008-0000-0100-00007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19" name="Text Box 1">
          <a:extLst>
            <a:ext uri="{FF2B5EF4-FFF2-40B4-BE49-F238E27FC236}">
              <a16:creationId xmlns="" xmlns:a16="http://schemas.microsoft.com/office/drawing/2014/main" id="{00000000-0008-0000-0100-00007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0" name="Text Box 1">
          <a:extLst>
            <a:ext uri="{FF2B5EF4-FFF2-40B4-BE49-F238E27FC236}">
              <a16:creationId xmlns="" xmlns:a16="http://schemas.microsoft.com/office/drawing/2014/main" id="{00000000-0008-0000-0100-00007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1" name="Text Box 1">
          <a:extLst>
            <a:ext uri="{FF2B5EF4-FFF2-40B4-BE49-F238E27FC236}">
              <a16:creationId xmlns="" xmlns:a16="http://schemas.microsoft.com/office/drawing/2014/main" id="{00000000-0008-0000-0100-00007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2" name="Text Box 1">
          <a:extLst>
            <a:ext uri="{FF2B5EF4-FFF2-40B4-BE49-F238E27FC236}">
              <a16:creationId xmlns="" xmlns:a16="http://schemas.microsoft.com/office/drawing/2014/main" id="{00000000-0008-0000-0100-00007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3" name="Text Box 1">
          <a:extLst>
            <a:ext uri="{FF2B5EF4-FFF2-40B4-BE49-F238E27FC236}">
              <a16:creationId xmlns="" xmlns:a16="http://schemas.microsoft.com/office/drawing/2014/main" id="{00000000-0008-0000-0100-00007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4" name="Text Box 1">
          <a:extLst>
            <a:ext uri="{FF2B5EF4-FFF2-40B4-BE49-F238E27FC236}">
              <a16:creationId xmlns="" xmlns:a16="http://schemas.microsoft.com/office/drawing/2014/main" id="{00000000-0008-0000-0100-0000D2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5" name="Text Box 1">
          <a:extLst>
            <a:ext uri="{FF2B5EF4-FFF2-40B4-BE49-F238E27FC236}">
              <a16:creationId xmlns="" xmlns:a16="http://schemas.microsoft.com/office/drawing/2014/main" id="{00000000-0008-0000-0100-0000D3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6" name="Text Box 1">
          <a:extLst>
            <a:ext uri="{FF2B5EF4-FFF2-40B4-BE49-F238E27FC236}">
              <a16:creationId xmlns="" xmlns:a16="http://schemas.microsoft.com/office/drawing/2014/main" id="{00000000-0008-0000-0100-0000D4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7" name="Text Box 1">
          <a:extLst>
            <a:ext uri="{FF2B5EF4-FFF2-40B4-BE49-F238E27FC236}">
              <a16:creationId xmlns="" xmlns:a16="http://schemas.microsoft.com/office/drawing/2014/main" id="{00000000-0008-0000-0100-0000D5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8" name="Text Box 1">
          <a:extLst>
            <a:ext uri="{FF2B5EF4-FFF2-40B4-BE49-F238E27FC236}">
              <a16:creationId xmlns="" xmlns:a16="http://schemas.microsoft.com/office/drawing/2014/main" id="{00000000-0008-0000-0100-0000D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29" name="Text Box 1">
          <a:extLst>
            <a:ext uri="{FF2B5EF4-FFF2-40B4-BE49-F238E27FC236}">
              <a16:creationId xmlns="" xmlns:a16="http://schemas.microsoft.com/office/drawing/2014/main" id="{00000000-0008-0000-0100-0000D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0" name="Text Box 1">
          <a:extLst>
            <a:ext uri="{FF2B5EF4-FFF2-40B4-BE49-F238E27FC236}">
              <a16:creationId xmlns="" xmlns:a16="http://schemas.microsoft.com/office/drawing/2014/main" id="{00000000-0008-0000-0100-0000D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1" name="Text Box 1">
          <a:extLst>
            <a:ext uri="{FF2B5EF4-FFF2-40B4-BE49-F238E27FC236}">
              <a16:creationId xmlns="" xmlns:a16="http://schemas.microsoft.com/office/drawing/2014/main" id="{00000000-0008-0000-0100-0000D9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2" name="Text Box 1">
          <a:extLst>
            <a:ext uri="{FF2B5EF4-FFF2-40B4-BE49-F238E27FC236}">
              <a16:creationId xmlns="" xmlns:a16="http://schemas.microsoft.com/office/drawing/2014/main" id="{00000000-0008-0000-0100-0000DA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3" name="Text Box 1">
          <a:extLst>
            <a:ext uri="{FF2B5EF4-FFF2-40B4-BE49-F238E27FC236}">
              <a16:creationId xmlns="" xmlns:a16="http://schemas.microsoft.com/office/drawing/2014/main" id="{00000000-0008-0000-0100-0000DB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4" name="Text Box 1">
          <a:extLst>
            <a:ext uri="{FF2B5EF4-FFF2-40B4-BE49-F238E27FC236}">
              <a16:creationId xmlns="" xmlns:a16="http://schemas.microsoft.com/office/drawing/2014/main" id="{00000000-0008-0000-0100-0000DC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5" name="Text Box 1">
          <a:extLst>
            <a:ext uri="{FF2B5EF4-FFF2-40B4-BE49-F238E27FC236}">
              <a16:creationId xmlns="" xmlns:a16="http://schemas.microsoft.com/office/drawing/2014/main" id="{00000000-0008-0000-0100-0000DD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6" name="Text Box 1">
          <a:extLst>
            <a:ext uri="{FF2B5EF4-FFF2-40B4-BE49-F238E27FC236}">
              <a16:creationId xmlns="" xmlns:a16="http://schemas.microsoft.com/office/drawing/2014/main" id="{00000000-0008-0000-0100-0000DE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7" name="Text Box 1">
          <a:extLst>
            <a:ext uri="{FF2B5EF4-FFF2-40B4-BE49-F238E27FC236}">
              <a16:creationId xmlns="" xmlns:a16="http://schemas.microsoft.com/office/drawing/2014/main" id="{00000000-0008-0000-0100-0000DF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8" name="Text Box 1">
          <a:extLst>
            <a:ext uri="{FF2B5EF4-FFF2-40B4-BE49-F238E27FC236}">
              <a16:creationId xmlns="" xmlns:a16="http://schemas.microsoft.com/office/drawing/2014/main" id="{00000000-0008-0000-0100-0000E0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39" name="Text Box 1">
          <a:extLst>
            <a:ext uri="{FF2B5EF4-FFF2-40B4-BE49-F238E27FC236}">
              <a16:creationId xmlns="" xmlns:a16="http://schemas.microsoft.com/office/drawing/2014/main" id="{00000000-0008-0000-0100-0000E1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0" name="Text Box 1">
          <a:extLst>
            <a:ext uri="{FF2B5EF4-FFF2-40B4-BE49-F238E27FC236}">
              <a16:creationId xmlns="" xmlns:a16="http://schemas.microsoft.com/office/drawing/2014/main" id="{00000000-0008-0000-0100-0000E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1" name="Text Box 1">
          <a:extLst>
            <a:ext uri="{FF2B5EF4-FFF2-40B4-BE49-F238E27FC236}">
              <a16:creationId xmlns="" xmlns:a16="http://schemas.microsoft.com/office/drawing/2014/main" id="{00000000-0008-0000-0100-0000E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2" name="Text Box 1">
          <a:extLst>
            <a:ext uri="{FF2B5EF4-FFF2-40B4-BE49-F238E27FC236}">
              <a16:creationId xmlns="" xmlns:a16="http://schemas.microsoft.com/office/drawing/2014/main" id="{00000000-0008-0000-0100-0000E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3" name="Text Box 1">
          <a:extLst>
            <a:ext uri="{FF2B5EF4-FFF2-40B4-BE49-F238E27FC236}">
              <a16:creationId xmlns="" xmlns:a16="http://schemas.microsoft.com/office/drawing/2014/main" id="{00000000-0008-0000-0100-0000E9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4" name="Text Box 1">
          <a:extLst>
            <a:ext uri="{FF2B5EF4-FFF2-40B4-BE49-F238E27FC236}">
              <a16:creationId xmlns="" xmlns:a16="http://schemas.microsoft.com/office/drawing/2014/main" id="{00000000-0008-0000-0100-0000EA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5" name="Text Box 1">
          <a:extLst>
            <a:ext uri="{FF2B5EF4-FFF2-40B4-BE49-F238E27FC236}">
              <a16:creationId xmlns="" xmlns:a16="http://schemas.microsoft.com/office/drawing/2014/main" id="{00000000-0008-0000-0100-0000EB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6" name="Text Box 1">
          <a:extLst>
            <a:ext uri="{FF2B5EF4-FFF2-40B4-BE49-F238E27FC236}">
              <a16:creationId xmlns="" xmlns:a16="http://schemas.microsoft.com/office/drawing/2014/main" id="{00000000-0008-0000-0100-0000EC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7" name="Text Box 1">
          <a:extLst>
            <a:ext uri="{FF2B5EF4-FFF2-40B4-BE49-F238E27FC236}">
              <a16:creationId xmlns="" xmlns:a16="http://schemas.microsoft.com/office/drawing/2014/main" id="{00000000-0008-0000-0100-0000ED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8" name="Text Box 1">
          <a:extLst>
            <a:ext uri="{FF2B5EF4-FFF2-40B4-BE49-F238E27FC236}">
              <a16:creationId xmlns="" xmlns:a16="http://schemas.microsoft.com/office/drawing/2014/main" id="{00000000-0008-0000-0100-0000F2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49" name="Text Box 1">
          <a:extLst>
            <a:ext uri="{FF2B5EF4-FFF2-40B4-BE49-F238E27FC236}">
              <a16:creationId xmlns="" xmlns:a16="http://schemas.microsoft.com/office/drawing/2014/main" id="{00000000-0008-0000-0100-0000F3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0" name="Text Box 1">
          <a:extLst>
            <a:ext uri="{FF2B5EF4-FFF2-40B4-BE49-F238E27FC236}">
              <a16:creationId xmlns="" xmlns:a16="http://schemas.microsoft.com/office/drawing/2014/main" id="{00000000-0008-0000-0100-0000F4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1" name="Text Box 1">
          <a:extLst>
            <a:ext uri="{FF2B5EF4-FFF2-40B4-BE49-F238E27FC236}">
              <a16:creationId xmlns="" xmlns:a16="http://schemas.microsoft.com/office/drawing/2014/main" id="{00000000-0008-0000-0100-0000F5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2" name="Text Box 1">
          <a:extLst>
            <a:ext uri="{FF2B5EF4-FFF2-40B4-BE49-F238E27FC236}">
              <a16:creationId xmlns="" xmlns:a16="http://schemas.microsoft.com/office/drawing/2014/main" id="{00000000-0008-0000-0100-0000F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3" name="Text Box 1">
          <a:extLst>
            <a:ext uri="{FF2B5EF4-FFF2-40B4-BE49-F238E27FC236}">
              <a16:creationId xmlns="" xmlns:a16="http://schemas.microsoft.com/office/drawing/2014/main" id="{00000000-0008-0000-0100-0000F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4" name="Text Box 1">
          <a:extLst>
            <a:ext uri="{FF2B5EF4-FFF2-40B4-BE49-F238E27FC236}">
              <a16:creationId xmlns="" xmlns:a16="http://schemas.microsoft.com/office/drawing/2014/main" id="{00000000-0008-0000-0100-0000F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5" name="Text Box 1">
          <a:extLst>
            <a:ext uri="{FF2B5EF4-FFF2-40B4-BE49-F238E27FC236}">
              <a16:creationId xmlns="" xmlns:a16="http://schemas.microsoft.com/office/drawing/2014/main" id="{00000000-0008-0000-0100-00005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6" name="Text Box 1">
          <a:extLst>
            <a:ext uri="{FF2B5EF4-FFF2-40B4-BE49-F238E27FC236}">
              <a16:creationId xmlns="" xmlns:a16="http://schemas.microsoft.com/office/drawing/2014/main" id="{00000000-0008-0000-0100-00005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7" name="Text Box 1">
          <a:extLst>
            <a:ext uri="{FF2B5EF4-FFF2-40B4-BE49-F238E27FC236}">
              <a16:creationId xmlns="" xmlns:a16="http://schemas.microsoft.com/office/drawing/2014/main" id="{00000000-0008-0000-0100-00005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8" name="Text Box 1">
          <a:extLst>
            <a:ext uri="{FF2B5EF4-FFF2-40B4-BE49-F238E27FC236}">
              <a16:creationId xmlns="" xmlns:a16="http://schemas.microsoft.com/office/drawing/2014/main" id="{00000000-0008-0000-0100-00005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59" name="Text Box 1">
          <a:extLst>
            <a:ext uri="{FF2B5EF4-FFF2-40B4-BE49-F238E27FC236}">
              <a16:creationId xmlns="" xmlns:a16="http://schemas.microsoft.com/office/drawing/2014/main" id="{00000000-0008-0000-0100-00005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0" name="Text Box 1">
          <a:extLst>
            <a:ext uri="{FF2B5EF4-FFF2-40B4-BE49-F238E27FC236}">
              <a16:creationId xmlns="" xmlns:a16="http://schemas.microsoft.com/office/drawing/2014/main" id="{00000000-0008-0000-0100-00005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1" name="Text Box 1">
          <a:extLst>
            <a:ext uri="{FF2B5EF4-FFF2-40B4-BE49-F238E27FC236}">
              <a16:creationId xmlns="" xmlns:a16="http://schemas.microsoft.com/office/drawing/2014/main" id="{00000000-0008-0000-0100-00005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2" name="Text Box 1">
          <a:extLst>
            <a:ext uri="{FF2B5EF4-FFF2-40B4-BE49-F238E27FC236}">
              <a16:creationId xmlns="" xmlns:a16="http://schemas.microsoft.com/office/drawing/2014/main" id="{00000000-0008-0000-0100-00005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3" name="Text Box 1">
          <a:extLst>
            <a:ext uri="{FF2B5EF4-FFF2-40B4-BE49-F238E27FC236}">
              <a16:creationId xmlns="" xmlns:a16="http://schemas.microsoft.com/office/drawing/2014/main" id="{00000000-0008-0000-0100-00005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4" name="Text Box 1">
          <a:extLst>
            <a:ext uri="{FF2B5EF4-FFF2-40B4-BE49-F238E27FC236}">
              <a16:creationId xmlns="" xmlns:a16="http://schemas.microsoft.com/office/drawing/2014/main" id="{00000000-0008-0000-0100-00005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5" name="Text Box 1">
          <a:extLst>
            <a:ext uri="{FF2B5EF4-FFF2-40B4-BE49-F238E27FC236}">
              <a16:creationId xmlns="" xmlns:a16="http://schemas.microsoft.com/office/drawing/2014/main" id="{00000000-0008-0000-0100-00005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6" name="Text Box 1">
          <a:extLst>
            <a:ext uri="{FF2B5EF4-FFF2-40B4-BE49-F238E27FC236}">
              <a16:creationId xmlns="" xmlns:a16="http://schemas.microsoft.com/office/drawing/2014/main" id="{00000000-0008-0000-0100-00005B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7" name="Text Box 1">
          <a:extLst>
            <a:ext uri="{FF2B5EF4-FFF2-40B4-BE49-F238E27FC236}">
              <a16:creationId xmlns="" xmlns:a16="http://schemas.microsoft.com/office/drawing/2014/main" id="{00000000-0008-0000-0100-00005C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8" name="Text Box 1">
          <a:extLst>
            <a:ext uri="{FF2B5EF4-FFF2-40B4-BE49-F238E27FC236}">
              <a16:creationId xmlns="" xmlns:a16="http://schemas.microsoft.com/office/drawing/2014/main" id="{00000000-0008-0000-0100-00005D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69" name="Text Box 1">
          <a:extLst>
            <a:ext uri="{FF2B5EF4-FFF2-40B4-BE49-F238E27FC236}">
              <a16:creationId xmlns="" xmlns:a16="http://schemas.microsoft.com/office/drawing/2014/main" id="{00000000-0008-0000-0100-00005E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0" name="Text Box 1">
          <a:extLst>
            <a:ext uri="{FF2B5EF4-FFF2-40B4-BE49-F238E27FC236}">
              <a16:creationId xmlns="" xmlns:a16="http://schemas.microsoft.com/office/drawing/2014/main" id="{00000000-0008-0000-0100-00006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1" name="Text Box 1">
          <a:extLst>
            <a:ext uri="{FF2B5EF4-FFF2-40B4-BE49-F238E27FC236}">
              <a16:creationId xmlns="" xmlns:a16="http://schemas.microsoft.com/office/drawing/2014/main" id="{00000000-0008-0000-0100-00006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2" name="Text Box 1">
          <a:extLst>
            <a:ext uri="{FF2B5EF4-FFF2-40B4-BE49-F238E27FC236}">
              <a16:creationId xmlns="" xmlns:a16="http://schemas.microsoft.com/office/drawing/2014/main" id="{00000000-0008-0000-0100-00006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3" name="Text Box 1">
          <a:extLst>
            <a:ext uri="{FF2B5EF4-FFF2-40B4-BE49-F238E27FC236}">
              <a16:creationId xmlns="" xmlns:a16="http://schemas.microsoft.com/office/drawing/2014/main" id="{00000000-0008-0000-0100-00006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4" name="Text Box 1">
          <a:extLst>
            <a:ext uri="{FF2B5EF4-FFF2-40B4-BE49-F238E27FC236}">
              <a16:creationId xmlns="" xmlns:a16="http://schemas.microsoft.com/office/drawing/2014/main" id="{00000000-0008-0000-0100-00006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5" name="Text Box 1">
          <a:extLst>
            <a:ext uri="{FF2B5EF4-FFF2-40B4-BE49-F238E27FC236}">
              <a16:creationId xmlns="" xmlns:a16="http://schemas.microsoft.com/office/drawing/2014/main" id="{00000000-0008-0000-0100-00006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6" name="Text Box 1">
          <a:extLst>
            <a:ext uri="{FF2B5EF4-FFF2-40B4-BE49-F238E27FC236}">
              <a16:creationId xmlns="" xmlns:a16="http://schemas.microsoft.com/office/drawing/2014/main" id="{00000000-0008-0000-0100-00006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7" name="Text Box 1">
          <a:extLst>
            <a:ext uri="{FF2B5EF4-FFF2-40B4-BE49-F238E27FC236}">
              <a16:creationId xmlns="" xmlns:a16="http://schemas.microsoft.com/office/drawing/2014/main" id="{00000000-0008-0000-0100-00006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8" name="Text Box 1">
          <a:extLst>
            <a:ext uri="{FF2B5EF4-FFF2-40B4-BE49-F238E27FC236}">
              <a16:creationId xmlns="" xmlns:a16="http://schemas.microsoft.com/office/drawing/2014/main" id="{00000000-0008-0000-0100-00006F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79" name="Text Box 1">
          <a:extLst>
            <a:ext uri="{FF2B5EF4-FFF2-40B4-BE49-F238E27FC236}">
              <a16:creationId xmlns="" xmlns:a16="http://schemas.microsoft.com/office/drawing/2014/main" id="{00000000-0008-0000-0100-00007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0" name="Text Box 1">
          <a:extLst>
            <a:ext uri="{FF2B5EF4-FFF2-40B4-BE49-F238E27FC236}">
              <a16:creationId xmlns="" xmlns:a16="http://schemas.microsoft.com/office/drawing/2014/main" id="{00000000-0008-0000-0100-00007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1" name="Text Box 1">
          <a:extLst>
            <a:ext uri="{FF2B5EF4-FFF2-40B4-BE49-F238E27FC236}">
              <a16:creationId xmlns="" xmlns:a16="http://schemas.microsoft.com/office/drawing/2014/main" id="{00000000-0008-0000-0100-00007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2" name="Text Box 1">
          <a:extLst>
            <a:ext uri="{FF2B5EF4-FFF2-40B4-BE49-F238E27FC236}">
              <a16:creationId xmlns="" xmlns:a16="http://schemas.microsoft.com/office/drawing/2014/main" id="{00000000-0008-0000-0100-00007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3" name="Text Box 1">
          <a:extLst>
            <a:ext uri="{FF2B5EF4-FFF2-40B4-BE49-F238E27FC236}">
              <a16:creationId xmlns="" xmlns:a16="http://schemas.microsoft.com/office/drawing/2014/main" id="{00000000-0008-0000-0100-0000A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4" name="Text Box 1">
          <a:extLst>
            <a:ext uri="{FF2B5EF4-FFF2-40B4-BE49-F238E27FC236}">
              <a16:creationId xmlns="" xmlns:a16="http://schemas.microsoft.com/office/drawing/2014/main" id="{00000000-0008-0000-0100-0000A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5" name="Text Box 1">
          <a:extLst>
            <a:ext uri="{FF2B5EF4-FFF2-40B4-BE49-F238E27FC236}">
              <a16:creationId xmlns="" xmlns:a16="http://schemas.microsoft.com/office/drawing/2014/main" id="{00000000-0008-0000-0100-0000A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6" name="Text Box 1">
          <a:extLst>
            <a:ext uri="{FF2B5EF4-FFF2-40B4-BE49-F238E27FC236}">
              <a16:creationId xmlns="" xmlns:a16="http://schemas.microsoft.com/office/drawing/2014/main" id="{00000000-0008-0000-0100-0000A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7" name="Text Box 1">
          <a:extLst>
            <a:ext uri="{FF2B5EF4-FFF2-40B4-BE49-F238E27FC236}">
              <a16:creationId xmlns="" xmlns:a16="http://schemas.microsoft.com/office/drawing/2014/main" id="{00000000-0008-0000-0100-0000A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8" name="Text Box 1">
          <a:extLst>
            <a:ext uri="{FF2B5EF4-FFF2-40B4-BE49-F238E27FC236}">
              <a16:creationId xmlns="" xmlns:a16="http://schemas.microsoft.com/office/drawing/2014/main" id="{00000000-0008-0000-0100-0000A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89" name="Text Box 1">
          <a:extLst>
            <a:ext uri="{FF2B5EF4-FFF2-40B4-BE49-F238E27FC236}">
              <a16:creationId xmlns="" xmlns:a16="http://schemas.microsoft.com/office/drawing/2014/main" id="{00000000-0008-0000-0100-0000A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0" name="Text Box 1">
          <a:extLst>
            <a:ext uri="{FF2B5EF4-FFF2-40B4-BE49-F238E27FC236}">
              <a16:creationId xmlns="" xmlns:a16="http://schemas.microsoft.com/office/drawing/2014/main" id="{00000000-0008-0000-0100-0000A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1" name="Text Box 1">
          <a:extLst>
            <a:ext uri="{FF2B5EF4-FFF2-40B4-BE49-F238E27FC236}">
              <a16:creationId xmlns="" xmlns:a16="http://schemas.microsoft.com/office/drawing/2014/main" id="{00000000-0008-0000-0100-0000AE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2" name="Text Box 1">
          <a:extLst>
            <a:ext uri="{FF2B5EF4-FFF2-40B4-BE49-F238E27FC236}">
              <a16:creationId xmlns="" xmlns:a16="http://schemas.microsoft.com/office/drawing/2014/main" id="{00000000-0008-0000-0100-0000AF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3" name="Text Box 1">
          <a:extLst>
            <a:ext uri="{FF2B5EF4-FFF2-40B4-BE49-F238E27FC236}">
              <a16:creationId xmlns="" xmlns:a16="http://schemas.microsoft.com/office/drawing/2014/main" id="{00000000-0008-0000-0100-0000B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4" name="Text Box 1">
          <a:extLst>
            <a:ext uri="{FF2B5EF4-FFF2-40B4-BE49-F238E27FC236}">
              <a16:creationId xmlns="" xmlns:a16="http://schemas.microsoft.com/office/drawing/2014/main" id="{00000000-0008-0000-0100-0000B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5" name="Text Box 1">
          <a:extLst>
            <a:ext uri="{FF2B5EF4-FFF2-40B4-BE49-F238E27FC236}">
              <a16:creationId xmlns="" xmlns:a16="http://schemas.microsoft.com/office/drawing/2014/main" id="{00000000-0008-0000-0100-0000B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6" name="Text Box 1">
          <a:extLst>
            <a:ext uri="{FF2B5EF4-FFF2-40B4-BE49-F238E27FC236}">
              <a16:creationId xmlns="" xmlns:a16="http://schemas.microsoft.com/office/drawing/2014/main" id="{00000000-0008-0000-0100-0000B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7" name="Text Box 1">
          <a:extLst>
            <a:ext uri="{FF2B5EF4-FFF2-40B4-BE49-F238E27FC236}">
              <a16:creationId xmlns="" xmlns:a16="http://schemas.microsoft.com/office/drawing/2014/main" id="{00000000-0008-0000-0100-0000B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8" name="Text Box 1">
          <a:extLst>
            <a:ext uri="{FF2B5EF4-FFF2-40B4-BE49-F238E27FC236}">
              <a16:creationId xmlns="" xmlns:a16="http://schemas.microsoft.com/office/drawing/2014/main" id="{00000000-0008-0000-0100-0000B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199" name="Text Box 1">
          <a:extLst>
            <a:ext uri="{FF2B5EF4-FFF2-40B4-BE49-F238E27FC236}">
              <a16:creationId xmlns="" xmlns:a16="http://schemas.microsoft.com/office/drawing/2014/main" id="{00000000-0008-0000-0100-0000B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0" name="Text Box 1">
          <a:extLst>
            <a:ext uri="{FF2B5EF4-FFF2-40B4-BE49-F238E27FC236}">
              <a16:creationId xmlns="" xmlns:a16="http://schemas.microsoft.com/office/drawing/2014/main" id="{00000000-0008-0000-0100-0000BB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1" name="Text Box 1">
          <a:extLst>
            <a:ext uri="{FF2B5EF4-FFF2-40B4-BE49-F238E27FC236}">
              <a16:creationId xmlns="" xmlns:a16="http://schemas.microsoft.com/office/drawing/2014/main" id="{00000000-0008-0000-0100-0000BC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2" name="Text Box 1">
          <a:extLst>
            <a:ext uri="{FF2B5EF4-FFF2-40B4-BE49-F238E27FC236}">
              <a16:creationId xmlns="" xmlns:a16="http://schemas.microsoft.com/office/drawing/2014/main" id="{00000000-0008-0000-0100-0000BD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3" name="Text Box 1">
          <a:extLst>
            <a:ext uri="{FF2B5EF4-FFF2-40B4-BE49-F238E27FC236}">
              <a16:creationId xmlns="" xmlns:a16="http://schemas.microsoft.com/office/drawing/2014/main" id="{00000000-0008-0000-0100-0000BE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4" name="Text Box 1">
          <a:extLst>
            <a:ext uri="{FF2B5EF4-FFF2-40B4-BE49-F238E27FC236}">
              <a16:creationId xmlns="" xmlns:a16="http://schemas.microsoft.com/office/drawing/2014/main" id="{00000000-0008-0000-0100-0000BF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5" name="Text Box 1">
          <a:extLst>
            <a:ext uri="{FF2B5EF4-FFF2-40B4-BE49-F238E27FC236}">
              <a16:creationId xmlns="" xmlns:a16="http://schemas.microsoft.com/office/drawing/2014/main" id="{00000000-0008-0000-0100-0000C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6" name="Text Box 1">
          <a:extLst>
            <a:ext uri="{FF2B5EF4-FFF2-40B4-BE49-F238E27FC236}">
              <a16:creationId xmlns="" xmlns:a16="http://schemas.microsoft.com/office/drawing/2014/main" id="{00000000-0008-0000-0100-0000D2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7" name="Text Box 1">
          <a:extLst>
            <a:ext uri="{FF2B5EF4-FFF2-40B4-BE49-F238E27FC236}">
              <a16:creationId xmlns="" xmlns:a16="http://schemas.microsoft.com/office/drawing/2014/main" id="{00000000-0008-0000-0100-0000D3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8" name="Text Box 1">
          <a:extLst>
            <a:ext uri="{FF2B5EF4-FFF2-40B4-BE49-F238E27FC236}">
              <a16:creationId xmlns="" xmlns:a16="http://schemas.microsoft.com/office/drawing/2014/main" id="{00000000-0008-0000-0100-0000D4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09" name="Text Box 1">
          <a:extLst>
            <a:ext uri="{FF2B5EF4-FFF2-40B4-BE49-F238E27FC236}">
              <a16:creationId xmlns="" xmlns:a16="http://schemas.microsoft.com/office/drawing/2014/main" id="{00000000-0008-0000-0100-0000D5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0" name="Text Box 1">
          <a:extLst>
            <a:ext uri="{FF2B5EF4-FFF2-40B4-BE49-F238E27FC236}">
              <a16:creationId xmlns="" xmlns:a16="http://schemas.microsoft.com/office/drawing/2014/main" id="{00000000-0008-0000-0100-0000D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1" name="Text Box 1">
          <a:extLst>
            <a:ext uri="{FF2B5EF4-FFF2-40B4-BE49-F238E27FC236}">
              <a16:creationId xmlns="" xmlns:a16="http://schemas.microsoft.com/office/drawing/2014/main" id="{00000000-0008-0000-0100-0000D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2" name="Text Box 1">
          <a:extLst>
            <a:ext uri="{FF2B5EF4-FFF2-40B4-BE49-F238E27FC236}">
              <a16:creationId xmlns="" xmlns:a16="http://schemas.microsoft.com/office/drawing/2014/main" id="{00000000-0008-0000-0100-0000D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3" name="Text Box 1">
          <a:extLst>
            <a:ext uri="{FF2B5EF4-FFF2-40B4-BE49-F238E27FC236}">
              <a16:creationId xmlns="" xmlns:a16="http://schemas.microsoft.com/office/drawing/2014/main" id="{00000000-0008-0000-0100-0000D9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4" name="Text Box 1">
          <a:extLst>
            <a:ext uri="{FF2B5EF4-FFF2-40B4-BE49-F238E27FC236}">
              <a16:creationId xmlns="" xmlns:a16="http://schemas.microsoft.com/office/drawing/2014/main" id="{00000000-0008-0000-0100-0000DA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5" name="Text Box 1">
          <a:extLst>
            <a:ext uri="{FF2B5EF4-FFF2-40B4-BE49-F238E27FC236}">
              <a16:creationId xmlns="" xmlns:a16="http://schemas.microsoft.com/office/drawing/2014/main" id="{00000000-0008-0000-0100-0000DB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6" name="Text Box 1">
          <a:extLst>
            <a:ext uri="{FF2B5EF4-FFF2-40B4-BE49-F238E27FC236}">
              <a16:creationId xmlns="" xmlns:a16="http://schemas.microsoft.com/office/drawing/2014/main" id="{00000000-0008-0000-0100-0000DC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7" name="Text Box 1">
          <a:extLst>
            <a:ext uri="{FF2B5EF4-FFF2-40B4-BE49-F238E27FC236}">
              <a16:creationId xmlns="" xmlns:a16="http://schemas.microsoft.com/office/drawing/2014/main" id="{00000000-0008-0000-0100-0000DD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8" name="Text Box 1">
          <a:extLst>
            <a:ext uri="{FF2B5EF4-FFF2-40B4-BE49-F238E27FC236}">
              <a16:creationId xmlns="" xmlns:a16="http://schemas.microsoft.com/office/drawing/2014/main" id="{00000000-0008-0000-0100-0000DE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19" name="Text Box 1">
          <a:extLst>
            <a:ext uri="{FF2B5EF4-FFF2-40B4-BE49-F238E27FC236}">
              <a16:creationId xmlns="" xmlns:a16="http://schemas.microsoft.com/office/drawing/2014/main" id="{00000000-0008-0000-0100-0000DF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0" name="Text Box 1">
          <a:extLst>
            <a:ext uri="{FF2B5EF4-FFF2-40B4-BE49-F238E27FC236}">
              <a16:creationId xmlns="" xmlns:a16="http://schemas.microsoft.com/office/drawing/2014/main" id="{00000000-0008-0000-0100-0000E0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1" name="Text Box 1">
          <a:extLst>
            <a:ext uri="{FF2B5EF4-FFF2-40B4-BE49-F238E27FC236}">
              <a16:creationId xmlns="" xmlns:a16="http://schemas.microsoft.com/office/drawing/2014/main" id="{00000000-0008-0000-0100-0000E1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2" name="Text Box 1">
          <a:extLst>
            <a:ext uri="{FF2B5EF4-FFF2-40B4-BE49-F238E27FC236}">
              <a16:creationId xmlns="" xmlns:a16="http://schemas.microsoft.com/office/drawing/2014/main" id="{00000000-0008-0000-0100-0000E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3" name="Text Box 1">
          <a:extLst>
            <a:ext uri="{FF2B5EF4-FFF2-40B4-BE49-F238E27FC236}">
              <a16:creationId xmlns="" xmlns:a16="http://schemas.microsoft.com/office/drawing/2014/main" id="{00000000-0008-0000-0100-0000E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4" name="Text Box 1">
          <a:extLst>
            <a:ext uri="{FF2B5EF4-FFF2-40B4-BE49-F238E27FC236}">
              <a16:creationId xmlns="" xmlns:a16="http://schemas.microsoft.com/office/drawing/2014/main" id="{00000000-0008-0000-0100-0000E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5" name="Text Box 1">
          <a:extLst>
            <a:ext uri="{FF2B5EF4-FFF2-40B4-BE49-F238E27FC236}">
              <a16:creationId xmlns="" xmlns:a16="http://schemas.microsoft.com/office/drawing/2014/main" id="{00000000-0008-0000-0100-0000E9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6" name="Text Box 1">
          <a:extLst>
            <a:ext uri="{FF2B5EF4-FFF2-40B4-BE49-F238E27FC236}">
              <a16:creationId xmlns="" xmlns:a16="http://schemas.microsoft.com/office/drawing/2014/main" id="{00000000-0008-0000-0100-0000EA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7" name="Text Box 1">
          <a:extLst>
            <a:ext uri="{FF2B5EF4-FFF2-40B4-BE49-F238E27FC236}">
              <a16:creationId xmlns="" xmlns:a16="http://schemas.microsoft.com/office/drawing/2014/main" id="{00000000-0008-0000-0100-0000EB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8" name="Text Box 1">
          <a:extLst>
            <a:ext uri="{FF2B5EF4-FFF2-40B4-BE49-F238E27FC236}">
              <a16:creationId xmlns="" xmlns:a16="http://schemas.microsoft.com/office/drawing/2014/main" id="{00000000-0008-0000-0100-0000EC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29" name="Text Box 1">
          <a:extLst>
            <a:ext uri="{FF2B5EF4-FFF2-40B4-BE49-F238E27FC236}">
              <a16:creationId xmlns="" xmlns:a16="http://schemas.microsoft.com/office/drawing/2014/main" id="{00000000-0008-0000-0100-0000ED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0" name="Text Box 1">
          <a:extLst>
            <a:ext uri="{FF2B5EF4-FFF2-40B4-BE49-F238E27FC236}">
              <a16:creationId xmlns="" xmlns:a16="http://schemas.microsoft.com/office/drawing/2014/main" id="{00000000-0008-0000-0100-0000F2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1" name="Text Box 1">
          <a:extLst>
            <a:ext uri="{FF2B5EF4-FFF2-40B4-BE49-F238E27FC236}">
              <a16:creationId xmlns="" xmlns:a16="http://schemas.microsoft.com/office/drawing/2014/main" id="{00000000-0008-0000-0100-0000F3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2" name="Text Box 1">
          <a:extLst>
            <a:ext uri="{FF2B5EF4-FFF2-40B4-BE49-F238E27FC236}">
              <a16:creationId xmlns="" xmlns:a16="http://schemas.microsoft.com/office/drawing/2014/main" id="{00000000-0008-0000-0100-0000F4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3" name="Text Box 1">
          <a:extLst>
            <a:ext uri="{FF2B5EF4-FFF2-40B4-BE49-F238E27FC236}">
              <a16:creationId xmlns="" xmlns:a16="http://schemas.microsoft.com/office/drawing/2014/main" id="{00000000-0008-0000-0100-0000F5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4" name="Text Box 1">
          <a:extLst>
            <a:ext uri="{FF2B5EF4-FFF2-40B4-BE49-F238E27FC236}">
              <a16:creationId xmlns="" xmlns:a16="http://schemas.microsoft.com/office/drawing/2014/main" id="{00000000-0008-0000-0100-0000F6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5" name="Text Box 1">
          <a:extLst>
            <a:ext uri="{FF2B5EF4-FFF2-40B4-BE49-F238E27FC236}">
              <a16:creationId xmlns="" xmlns:a16="http://schemas.microsoft.com/office/drawing/2014/main" id="{00000000-0008-0000-0100-0000F7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6" name="Text Box 1">
          <a:extLst>
            <a:ext uri="{FF2B5EF4-FFF2-40B4-BE49-F238E27FC236}">
              <a16:creationId xmlns="" xmlns:a16="http://schemas.microsoft.com/office/drawing/2014/main" id="{00000000-0008-0000-0100-0000F805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7" name="Text Box 1">
          <a:extLst>
            <a:ext uri="{FF2B5EF4-FFF2-40B4-BE49-F238E27FC236}">
              <a16:creationId xmlns="" xmlns:a16="http://schemas.microsoft.com/office/drawing/2014/main" id="{00000000-0008-0000-0100-00005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8" name="Text Box 1">
          <a:extLst>
            <a:ext uri="{FF2B5EF4-FFF2-40B4-BE49-F238E27FC236}">
              <a16:creationId xmlns="" xmlns:a16="http://schemas.microsoft.com/office/drawing/2014/main" id="{00000000-0008-0000-0100-00005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39" name="Text Box 1">
          <a:extLst>
            <a:ext uri="{FF2B5EF4-FFF2-40B4-BE49-F238E27FC236}">
              <a16:creationId xmlns="" xmlns:a16="http://schemas.microsoft.com/office/drawing/2014/main" id="{00000000-0008-0000-0100-00005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0" name="Text Box 1">
          <a:extLst>
            <a:ext uri="{FF2B5EF4-FFF2-40B4-BE49-F238E27FC236}">
              <a16:creationId xmlns="" xmlns:a16="http://schemas.microsoft.com/office/drawing/2014/main" id="{00000000-0008-0000-0100-00005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1" name="Text Box 1">
          <a:extLst>
            <a:ext uri="{FF2B5EF4-FFF2-40B4-BE49-F238E27FC236}">
              <a16:creationId xmlns="" xmlns:a16="http://schemas.microsoft.com/office/drawing/2014/main" id="{00000000-0008-0000-0100-00005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2" name="Text Box 1">
          <a:extLst>
            <a:ext uri="{FF2B5EF4-FFF2-40B4-BE49-F238E27FC236}">
              <a16:creationId xmlns="" xmlns:a16="http://schemas.microsoft.com/office/drawing/2014/main" id="{00000000-0008-0000-0100-00005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3" name="Text Box 1">
          <a:extLst>
            <a:ext uri="{FF2B5EF4-FFF2-40B4-BE49-F238E27FC236}">
              <a16:creationId xmlns="" xmlns:a16="http://schemas.microsoft.com/office/drawing/2014/main" id="{00000000-0008-0000-0100-00005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4" name="Text Box 1">
          <a:extLst>
            <a:ext uri="{FF2B5EF4-FFF2-40B4-BE49-F238E27FC236}">
              <a16:creationId xmlns="" xmlns:a16="http://schemas.microsoft.com/office/drawing/2014/main" id="{00000000-0008-0000-0100-00005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5" name="Text Box 1">
          <a:extLst>
            <a:ext uri="{FF2B5EF4-FFF2-40B4-BE49-F238E27FC236}">
              <a16:creationId xmlns="" xmlns:a16="http://schemas.microsoft.com/office/drawing/2014/main" id="{00000000-0008-0000-0100-00005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6" name="Text Box 1">
          <a:extLst>
            <a:ext uri="{FF2B5EF4-FFF2-40B4-BE49-F238E27FC236}">
              <a16:creationId xmlns="" xmlns:a16="http://schemas.microsoft.com/office/drawing/2014/main" id="{00000000-0008-0000-0100-00005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7" name="Text Box 1">
          <a:extLst>
            <a:ext uri="{FF2B5EF4-FFF2-40B4-BE49-F238E27FC236}">
              <a16:creationId xmlns="" xmlns:a16="http://schemas.microsoft.com/office/drawing/2014/main" id="{00000000-0008-0000-0100-00005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8" name="Text Box 1">
          <a:extLst>
            <a:ext uri="{FF2B5EF4-FFF2-40B4-BE49-F238E27FC236}">
              <a16:creationId xmlns="" xmlns:a16="http://schemas.microsoft.com/office/drawing/2014/main" id="{00000000-0008-0000-0100-00005B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49" name="Text Box 1">
          <a:extLst>
            <a:ext uri="{FF2B5EF4-FFF2-40B4-BE49-F238E27FC236}">
              <a16:creationId xmlns="" xmlns:a16="http://schemas.microsoft.com/office/drawing/2014/main" id="{00000000-0008-0000-0100-00005C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0" name="Text Box 1">
          <a:extLst>
            <a:ext uri="{FF2B5EF4-FFF2-40B4-BE49-F238E27FC236}">
              <a16:creationId xmlns="" xmlns:a16="http://schemas.microsoft.com/office/drawing/2014/main" id="{00000000-0008-0000-0100-00005D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1" name="Text Box 1">
          <a:extLst>
            <a:ext uri="{FF2B5EF4-FFF2-40B4-BE49-F238E27FC236}">
              <a16:creationId xmlns="" xmlns:a16="http://schemas.microsoft.com/office/drawing/2014/main" id="{00000000-0008-0000-0100-00005E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2" name="Text Box 1">
          <a:extLst>
            <a:ext uri="{FF2B5EF4-FFF2-40B4-BE49-F238E27FC236}">
              <a16:creationId xmlns="" xmlns:a16="http://schemas.microsoft.com/office/drawing/2014/main" id="{00000000-0008-0000-0100-00006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3" name="Text Box 1">
          <a:extLst>
            <a:ext uri="{FF2B5EF4-FFF2-40B4-BE49-F238E27FC236}">
              <a16:creationId xmlns="" xmlns:a16="http://schemas.microsoft.com/office/drawing/2014/main" id="{00000000-0008-0000-0100-00006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4" name="Text Box 1">
          <a:extLst>
            <a:ext uri="{FF2B5EF4-FFF2-40B4-BE49-F238E27FC236}">
              <a16:creationId xmlns="" xmlns:a16="http://schemas.microsoft.com/office/drawing/2014/main" id="{00000000-0008-0000-0100-00006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5" name="Text Box 1">
          <a:extLst>
            <a:ext uri="{FF2B5EF4-FFF2-40B4-BE49-F238E27FC236}">
              <a16:creationId xmlns="" xmlns:a16="http://schemas.microsoft.com/office/drawing/2014/main" id="{00000000-0008-0000-0100-00006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6" name="Text Box 1">
          <a:extLst>
            <a:ext uri="{FF2B5EF4-FFF2-40B4-BE49-F238E27FC236}">
              <a16:creationId xmlns="" xmlns:a16="http://schemas.microsoft.com/office/drawing/2014/main" id="{00000000-0008-0000-0100-00006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7" name="Text Box 1">
          <a:extLst>
            <a:ext uri="{FF2B5EF4-FFF2-40B4-BE49-F238E27FC236}">
              <a16:creationId xmlns="" xmlns:a16="http://schemas.microsoft.com/office/drawing/2014/main" id="{00000000-0008-0000-0100-00006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8" name="Text Box 1">
          <a:extLst>
            <a:ext uri="{FF2B5EF4-FFF2-40B4-BE49-F238E27FC236}">
              <a16:creationId xmlns="" xmlns:a16="http://schemas.microsoft.com/office/drawing/2014/main" id="{00000000-0008-0000-0100-00006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59" name="Text Box 1">
          <a:extLst>
            <a:ext uri="{FF2B5EF4-FFF2-40B4-BE49-F238E27FC236}">
              <a16:creationId xmlns="" xmlns:a16="http://schemas.microsoft.com/office/drawing/2014/main" id="{00000000-0008-0000-0100-00006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0" name="Text Box 1">
          <a:extLst>
            <a:ext uri="{FF2B5EF4-FFF2-40B4-BE49-F238E27FC236}">
              <a16:creationId xmlns="" xmlns:a16="http://schemas.microsoft.com/office/drawing/2014/main" id="{00000000-0008-0000-0100-00006F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1" name="Text Box 1">
          <a:extLst>
            <a:ext uri="{FF2B5EF4-FFF2-40B4-BE49-F238E27FC236}">
              <a16:creationId xmlns="" xmlns:a16="http://schemas.microsoft.com/office/drawing/2014/main" id="{00000000-0008-0000-0100-00007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2" name="Text Box 1">
          <a:extLst>
            <a:ext uri="{FF2B5EF4-FFF2-40B4-BE49-F238E27FC236}">
              <a16:creationId xmlns="" xmlns:a16="http://schemas.microsoft.com/office/drawing/2014/main" id="{00000000-0008-0000-0100-00007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3" name="Text Box 1">
          <a:extLst>
            <a:ext uri="{FF2B5EF4-FFF2-40B4-BE49-F238E27FC236}">
              <a16:creationId xmlns="" xmlns:a16="http://schemas.microsoft.com/office/drawing/2014/main" id="{00000000-0008-0000-0100-00007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4" name="Text Box 1">
          <a:extLst>
            <a:ext uri="{FF2B5EF4-FFF2-40B4-BE49-F238E27FC236}">
              <a16:creationId xmlns="" xmlns:a16="http://schemas.microsoft.com/office/drawing/2014/main" id="{00000000-0008-0000-0100-00007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5" name="Text Box 1">
          <a:extLst>
            <a:ext uri="{FF2B5EF4-FFF2-40B4-BE49-F238E27FC236}">
              <a16:creationId xmlns="" xmlns:a16="http://schemas.microsoft.com/office/drawing/2014/main" id="{00000000-0008-0000-0100-00007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6" name="Text Box 1">
          <a:extLst>
            <a:ext uri="{FF2B5EF4-FFF2-40B4-BE49-F238E27FC236}">
              <a16:creationId xmlns="" xmlns:a16="http://schemas.microsoft.com/office/drawing/2014/main" id="{00000000-0008-0000-0100-00007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7" name="Text Box 1">
          <a:extLst>
            <a:ext uri="{FF2B5EF4-FFF2-40B4-BE49-F238E27FC236}">
              <a16:creationId xmlns="" xmlns:a16="http://schemas.microsoft.com/office/drawing/2014/main" id="{00000000-0008-0000-0100-0000A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8" name="Text Box 1">
          <a:extLst>
            <a:ext uri="{FF2B5EF4-FFF2-40B4-BE49-F238E27FC236}">
              <a16:creationId xmlns="" xmlns:a16="http://schemas.microsoft.com/office/drawing/2014/main" id="{00000000-0008-0000-0100-0000A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69" name="Text Box 1">
          <a:extLst>
            <a:ext uri="{FF2B5EF4-FFF2-40B4-BE49-F238E27FC236}">
              <a16:creationId xmlns="" xmlns:a16="http://schemas.microsoft.com/office/drawing/2014/main" id="{00000000-0008-0000-0100-0000A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0" name="Text Box 1">
          <a:extLst>
            <a:ext uri="{FF2B5EF4-FFF2-40B4-BE49-F238E27FC236}">
              <a16:creationId xmlns="" xmlns:a16="http://schemas.microsoft.com/office/drawing/2014/main" id="{00000000-0008-0000-0100-0000A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1" name="Text Box 1">
          <a:extLst>
            <a:ext uri="{FF2B5EF4-FFF2-40B4-BE49-F238E27FC236}">
              <a16:creationId xmlns="" xmlns:a16="http://schemas.microsoft.com/office/drawing/2014/main" id="{00000000-0008-0000-0100-0000A6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2" name="Text Box 1">
          <a:extLst>
            <a:ext uri="{FF2B5EF4-FFF2-40B4-BE49-F238E27FC236}">
              <a16:creationId xmlns="" xmlns:a16="http://schemas.microsoft.com/office/drawing/2014/main" id="{00000000-0008-0000-0100-0000A7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3" name="Text Box 1">
          <a:extLst>
            <a:ext uri="{FF2B5EF4-FFF2-40B4-BE49-F238E27FC236}">
              <a16:creationId xmlns="" xmlns:a16="http://schemas.microsoft.com/office/drawing/2014/main" id="{00000000-0008-0000-0100-0000A8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4" name="Text Box 1">
          <a:extLst>
            <a:ext uri="{FF2B5EF4-FFF2-40B4-BE49-F238E27FC236}">
              <a16:creationId xmlns="" xmlns:a16="http://schemas.microsoft.com/office/drawing/2014/main" id="{00000000-0008-0000-0100-0000A9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5" name="Text Box 1">
          <a:extLst>
            <a:ext uri="{FF2B5EF4-FFF2-40B4-BE49-F238E27FC236}">
              <a16:creationId xmlns="" xmlns:a16="http://schemas.microsoft.com/office/drawing/2014/main" id="{00000000-0008-0000-0100-0000AE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6" name="Text Box 1">
          <a:extLst>
            <a:ext uri="{FF2B5EF4-FFF2-40B4-BE49-F238E27FC236}">
              <a16:creationId xmlns="" xmlns:a16="http://schemas.microsoft.com/office/drawing/2014/main" id="{00000000-0008-0000-0100-0000AF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7" name="Text Box 1">
          <a:extLst>
            <a:ext uri="{FF2B5EF4-FFF2-40B4-BE49-F238E27FC236}">
              <a16:creationId xmlns="" xmlns:a16="http://schemas.microsoft.com/office/drawing/2014/main" id="{00000000-0008-0000-0100-0000B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8" name="Text Box 1">
          <a:extLst>
            <a:ext uri="{FF2B5EF4-FFF2-40B4-BE49-F238E27FC236}">
              <a16:creationId xmlns="" xmlns:a16="http://schemas.microsoft.com/office/drawing/2014/main" id="{00000000-0008-0000-0100-0000B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79" name="Text Box 1">
          <a:extLst>
            <a:ext uri="{FF2B5EF4-FFF2-40B4-BE49-F238E27FC236}">
              <a16:creationId xmlns="" xmlns:a16="http://schemas.microsoft.com/office/drawing/2014/main" id="{00000000-0008-0000-0100-0000B2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0" name="Text Box 1">
          <a:extLst>
            <a:ext uri="{FF2B5EF4-FFF2-40B4-BE49-F238E27FC236}">
              <a16:creationId xmlns="" xmlns:a16="http://schemas.microsoft.com/office/drawing/2014/main" id="{00000000-0008-0000-0100-0000B3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1" name="Text Box 1">
          <a:extLst>
            <a:ext uri="{FF2B5EF4-FFF2-40B4-BE49-F238E27FC236}">
              <a16:creationId xmlns="" xmlns:a16="http://schemas.microsoft.com/office/drawing/2014/main" id="{00000000-0008-0000-0100-0000B4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2" name="Text Box 1">
          <a:extLst>
            <a:ext uri="{FF2B5EF4-FFF2-40B4-BE49-F238E27FC236}">
              <a16:creationId xmlns="" xmlns:a16="http://schemas.microsoft.com/office/drawing/2014/main" id="{00000000-0008-0000-0100-0000B5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3" name="Text Box 1">
          <a:extLst>
            <a:ext uri="{FF2B5EF4-FFF2-40B4-BE49-F238E27FC236}">
              <a16:creationId xmlns="" xmlns:a16="http://schemas.microsoft.com/office/drawing/2014/main" id="{00000000-0008-0000-0100-0000BA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4" name="Text Box 1">
          <a:extLst>
            <a:ext uri="{FF2B5EF4-FFF2-40B4-BE49-F238E27FC236}">
              <a16:creationId xmlns="" xmlns:a16="http://schemas.microsoft.com/office/drawing/2014/main" id="{00000000-0008-0000-0100-0000BB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5" name="Text Box 1">
          <a:extLst>
            <a:ext uri="{FF2B5EF4-FFF2-40B4-BE49-F238E27FC236}">
              <a16:creationId xmlns="" xmlns:a16="http://schemas.microsoft.com/office/drawing/2014/main" id="{00000000-0008-0000-0100-0000BC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6" name="Text Box 1">
          <a:extLst>
            <a:ext uri="{FF2B5EF4-FFF2-40B4-BE49-F238E27FC236}">
              <a16:creationId xmlns="" xmlns:a16="http://schemas.microsoft.com/office/drawing/2014/main" id="{00000000-0008-0000-0100-0000BD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7" name="Text Box 1">
          <a:extLst>
            <a:ext uri="{FF2B5EF4-FFF2-40B4-BE49-F238E27FC236}">
              <a16:creationId xmlns="" xmlns:a16="http://schemas.microsoft.com/office/drawing/2014/main" id="{00000000-0008-0000-0100-0000BE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8" name="Text Box 1">
          <a:extLst>
            <a:ext uri="{FF2B5EF4-FFF2-40B4-BE49-F238E27FC236}">
              <a16:creationId xmlns="" xmlns:a16="http://schemas.microsoft.com/office/drawing/2014/main" id="{00000000-0008-0000-0100-0000BF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89" name="Text Box 1">
          <a:extLst>
            <a:ext uri="{FF2B5EF4-FFF2-40B4-BE49-F238E27FC236}">
              <a16:creationId xmlns="" xmlns:a16="http://schemas.microsoft.com/office/drawing/2014/main" id="{00000000-0008-0000-0100-0000C0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96430" cy="25146"/>
    <xdr:sp macro="" textlink="">
      <xdr:nvSpPr>
        <xdr:cNvPr id="290" name="Text Box 1">
          <a:extLst>
            <a:ext uri="{FF2B5EF4-FFF2-40B4-BE49-F238E27FC236}">
              <a16:creationId xmlns="" xmlns:a16="http://schemas.microsoft.com/office/drawing/2014/main" id="{00000000-0008-0000-0100-0000C1060000}"/>
            </a:ext>
          </a:extLst>
        </xdr:cNvPr>
        <xdr:cNvSpPr txBox="1">
          <a:spLocks noChangeArrowheads="1"/>
        </xdr:cNvSpPr>
      </xdr:nvSpPr>
      <xdr:spPr bwMode="auto">
        <a:xfrm>
          <a:off x="676275" y="14449425"/>
          <a:ext cx="1896430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Nganjuk, tanggal                             </a:t>
          </a: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........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FFFFFF"/>
              </a:solidFill>
              <a:latin typeface="Arial"/>
              <a:cs typeface="Arial"/>
            </a:rPr>
            <a:t>Ke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Kepala Bidang………………………………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ttd,</a:t>
          </a:r>
        </a:p>
        <a:p>
          <a:pPr algn="ctr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NIP.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00\doc\dinas\perencanaan\RKA%202010\RKPD%202010%20terbaru\2.%20Dinkes\MAMIK\MAMIK\BU%20Total%20SKPD%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00\doc\dinas\perencanaan\Yunlia\MAMIK\MAMIK\BU%20Total%20SKPD%200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otal BU"/>
      <sheetName val=" Rumdis BU"/>
      <sheetName val=" GFK BU"/>
      <sheetName val=" PKM BU"/>
      <sheetName val="Polindes BU"/>
      <sheetName val=" Pustu  BU"/>
      <sheetName val="18 Pusling BU"/>
      <sheetName val="BU ALKES"/>
    </sheetNames>
    <sheetDataSet>
      <sheetData sheetId="0" refreshError="1">
        <row r="1">
          <cell r="A1">
            <v>1</v>
          </cell>
          <cell r="B1" t="str">
            <v>Rehab Puskesmas Induk</v>
          </cell>
        </row>
        <row r="2">
          <cell r="A2">
            <v>2</v>
          </cell>
          <cell r="B2" t="str">
            <v>Rehab Puskesmas Pembantu</v>
          </cell>
        </row>
        <row r="3">
          <cell r="A3">
            <v>3</v>
          </cell>
          <cell r="B3" t="str">
            <v>Alat Kesehatan &amp; Pendukung SIK</v>
          </cell>
        </row>
        <row r="4">
          <cell r="A4">
            <v>4</v>
          </cell>
          <cell r="B4" t="str">
            <v>Pengadaan Pusling</v>
          </cell>
        </row>
        <row r="5">
          <cell r="A5">
            <v>5</v>
          </cell>
          <cell r="B5" t="str">
            <v>Pembangunan Polindes</v>
          </cell>
        </row>
        <row r="6">
          <cell r="A6">
            <v>6</v>
          </cell>
          <cell r="B6" t="str">
            <v>Perluasan GFK</v>
          </cell>
        </row>
        <row r="7">
          <cell r="A7">
            <v>7</v>
          </cell>
          <cell r="B7" t="str">
            <v>Rehab Rumah Dinas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otal BU"/>
      <sheetName val=" Rumdis BU"/>
      <sheetName val=" GFK BU"/>
      <sheetName val=" PKM BU"/>
      <sheetName val="Polindes BU"/>
      <sheetName val=" Pustu  BU"/>
      <sheetName val="18 Pusling BU"/>
      <sheetName val="BU ALKES"/>
    </sheetNames>
    <sheetDataSet>
      <sheetData sheetId="0" refreshError="1">
        <row r="1">
          <cell r="A1">
            <v>1</v>
          </cell>
          <cell r="B1" t="str">
            <v>Rehab Puskesmas Induk</v>
          </cell>
        </row>
        <row r="2">
          <cell r="A2">
            <v>2</v>
          </cell>
          <cell r="B2" t="str">
            <v>Rehab Puskesmas Pembantu</v>
          </cell>
        </row>
        <row r="3">
          <cell r="A3">
            <v>3</v>
          </cell>
          <cell r="B3" t="str">
            <v>Alat Kesehatan &amp; Pendukung SIK</v>
          </cell>
        </row>
        <row r="4">
          <cell r="A4">
            <v>4</v>
          </cell>
          <cell r="B4" t="str">
            <v>Pengadaan Pusling</v>
          </cell>
        </row>
        <row r="5">
          <cell r="A5">
            <v>5</v>
          </cell>
          <cell r="B5" t="str">
            <v>Pembangunan Polindes</v>
          </cell>
        </row>
        <row r="6">
          <cell r="A6">
            <v>6</v>
          </cell>
          <cell r="B6" t="str">
            <v>Perluasan GFK</v>
          </cell>
        </row>
        <row r="7">
          <cell r="A7">
            <v>7</v>
          </cell>
          <cell r="B7" t="str">
            <v>Rehab Rumah Dinas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W232"/>
  <sheetViews>
    <sheetView tabSelected="1" topLeftCell="A7" zoomScale="110" zoomScaleNormal="110" workbookViewId="0">
      <selection activeCell="G61" sqref="G61"/>
    </sheetView>
  </sheetViews>
  <sheetFormatPr defaultRowHeight="15"/>
  <cols>
    <col min="1" max="2" width="3.28515625" style="1" customWidth="1"/>
    <col min="3" max="3" width="3.5703125" style="1" customWidth="1"/>
    <col min="4" max="4" width="22.5703125" style="1" customWidth="1"/>
    <col min="5" max="5" width="12.42578125" style="1" customWidth="1"/>
    <col min="6" max="6" width="14.42578125" style="1" customWidth="1"/>
    <col min="7" max="7" width="16.140625" style="1" customWidth="1"/>
    <col min="8" max="8" width="8" style="1" customWidth="1"/>
    <col min="9" max="9" width="3.42578125" style="1" customWidth="1"/>
    <col min="10" max="10" width="4.5703125" style="1" customWidth="1"/>
    <col min="11" max="11" width="1.140625" style="1" customWidth="1"/>
    <col min="12" max="12" width="2.5703125" style="1" customWidth="1"/>
    <col min="13" max="13" width="2.85546875" style="1" customWidth="1"/>
    <col min="14" max="14" width="2.42578125" style="1" customWidth="1"/>
    <col min="15" max="15" width="2.140625" style="1" customWidth="1"/>
    <col min="16" max="16" width="3" style="1" customWidth="1"/>
    <col min="17" max="17" width="1.140625" style="1" customWidth="1"/>
    <col min="18" max="19" width="2.42578125" style="1" customWidth="1"/>
    <col min="20" max="20" width="10.85546875" style="1" customWidth="1"/>
    <col min="21" max="21" width="10.28515625" style="1" customWidth="1"/>
    <col min="22" max="22" width="16.5703125" style="1" customWidth="1"/>
    <col min="23" max="23" width="11.5703125" style="1" bestFit="1" customWidth="1"/>
    <col min="24" max="16384" width="9.140625" style="1"/>
  </cols>
  <sheetData>
    <row r="1" spans="1:23">
      <c r="A1" s="389" t="s">
        <v>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</row>
    <row r="2" spans="1:23">
      <c r="A2" s="389" t="s">
        <v>1</v>
      </c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</row>
    <row r="3" spans="1:23">
      <c r="A3" s="389" t="s">
        <v>2</v>
      </c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</row>
    <row r="4" spans="1:23">
      <c r="A4" s="389" t="s">
        <v>3</v>
      </c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2"/>
    </row>
    <row r="7" spans="1:23">
      <c r="A7" s="3" t="s">
        <v>4</v>
      </c>
    </row>
    <row r="9" spans="1:23" ht="9.1999999999999993" customHeight="1">
      <c r="A9" s="375" t="s">
        <v>5</v>
      </c>
      <c r="B9" s="390" t="s">
        <v>6</v>
      </c>
      <c r="C9" s="391"/>
      <c r="D9" s="392"/>
      <c r="E9" s="396" t="s">
        <v>7</v>
      </c>
      <c r="F9" s="397"/>
      <c r="G9" s="375" t="s">
        <v>8</v>
      </c>
      <c r="H9" s="398" t="s">
        <v>9</v>
      </c>
      <c r="I9" s="400" t="s">
        <v>10</v>
      </c>
      <c r="J9" s="401"/>
      <c r="K9" s="401"/>
      <c r="L9" s="401"/>
      <c r="M9" s="401"/>
      <c r="N9" s="401"/>
      <c r="O9" s="401"/>
      <c r="P9" s="401"/>
      <c r="Q9" s="401"/>
      <c r="R9" s="401"/>
      <c r="S9" s="402"/>
      <c r="T9" s="375" t="s">
        <v>11</v>
      </c>
      <c r="U9" s="375" t="s">
        <v>12</v>
      </c>
      <c r="V9" s="375" t="s">
        <v>13</v>
      </c>
    </row>
    <row r="10" spans="1:23" ht="17.45" customHeight="1">
      <c r="A10" s="376"/>
      <c r="B10" s="393"/>
      <c r="C10" s="394"/>
      <c r="D10" s="395"/>
      <c r="E10" s="4" t="s">
        <v>14</v>
      </c>
      <c r="F10" s="5" t="s">
        <v>15</v>
      </c>
      <c r="G10" s="376"/>
      <c r="H10" s="399" t="s">
        <v>9</v>
      </c>
      <c r="I10" s="403"/>
      <c r="J10" s="404"/>
      <c r="K10" s="404"/>
      <c r="L10" s="404"/>
      <c r="M10" s="404"/>
      <c r="N10" s="404"/>
      <c r="O10" s="404"/>
      <c r="P10" s="404"/>
      <c r="Q10" s="404"/>
      <c r="R10" s="404"/>
      <c r="S10" s="405"/>
      <c r="T10" s="376"/>
      <c r="U10" s="376"/>
      <c r="V10" s="376"/>
    </row>
    <row r="11" spans="1:23" ht="12.75" customHeight="1">
      <c r="A11" s="377" t="s">
        <v>16</v>
      </c>
      <c r="B11" s="377"/>
      <c r="C11" s="377"/>
      <c r="D11" s="377"/>
      <c r="E11" s="377"/>
      <c r="F11" s="377"/>
      <c r="G11" s="377"/>
      <c r="H11" s="377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6">
        <f>V12+V58+V89+V146+V213+V218+V221+V227</f>
        <v>378378249.71000004</v>
      </c>
      <c r="W11" s="273">
        <f>378371850-V11</f>
        <v>-6399.710000038147</v>
      </c>
    </row>
    <row r="12" spans="1:23" ht="9.1999999999999993" customHeight="1">
      <c r="A12" s="7">
        <v>1</v>
      </c>
      <c r="B12" s="8"/>
      <c r="C12" s="378" t="s">
        <v>17</v>
      </c>
      <c r="D12" s="378"/>
      <c r="E12" s="378"/>
      <c r="F12" s="378"/>
      <c r="G12" s="378"/>
      <c r="H12" s="378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9">
        <f>SUM(U14:U57)</f>
        <v>58866250</v>
      </c>
    </row>
    <row r="13" spans="1:23">
      <c r="A13" s="10"/>
      <c r="B13" s="11">
        <v>1</v>
      </c>
      <c r="C13" s="379" t="s">
        <v>18</v>
      </c>
      <c r="D13" s="380"/>
      <c r="E13" s="11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2"/>
      <c r="U13" s="12"/>
      <c r="V13" s="13">
        <f>SUM(U14:U18)</f>
        <v>2780000</v>
      </c>
    </row>
    <row r="14" spans="1:23" ht="18">
      <c r="A14" s="14"/>
      <c r="B14" s="14"/>
      <c r="C14" s="14" t="s">
        <v>19</v>
      </c>
      <c r="D14" s="15" t="s">
        <v>20</v>
      </c>
      <c r="E14" s="16" t="s">
        <v>21</v>
      </c>
      <c r="F14" s="17" t="s">
        <v>22</v>
      </c>
      <c r="G14" s="17" t="s">
        <v>23</v>
      </c>
      <c r="H14" s="17" t="s">
        <v>24</v>
      </c>
      <c r="I14" s="16">
        <v>2</v>
      </c>
      <c r="J14" s="17" t="s">
        <v>25</v>
      </c>
      <c r="K14" s="17" t="s">
        <v>26</v>
      </c>
      <c r="L14" s="16">
        <v>2</v>
      </c>
      <c r="M14" s="17" t="s">
        <v>27</v>
      </c>
      <c r="N14" s="17" t="s">
        <v>26</v>
      </c>
      <c r="O14" s="16"/>
      <c r="P14" s="17"/>
      <c r="Q14" s="17"/>
      <c r="R14" s="16"/>
      <c r="S14" s="16"/>
      <c r="T14" s="18">
        <v>50000</v>
      </c>
      <c r="U14" s="19">
        <f>I14*L14*T14</f>
        <v>200000</v>
      </c>
      <c r="V14" s="19"/>
    </row>
    <row r="15" spans="1:23" ht="18">
      <c r="A15" s="14"/>
      <c r="B15" s="14"/>
      <c r="C15" s="14" t="s">
        <v>28</v>
      </c>
      <c r="D15" s="20" t="s">
        <v>29</v>
      </c>
      <c r="E15" s="16" t="s">
        <v>21</v>
      </c>
      <c r="F15" s="17" t="s">
        <v>22</v>
      </c>
      <c r="G15" s="17" t="s">
        <v>23</v>
      </c>
      <c r="H15" s="17" t="s">
        <v>24</v>
      </c>
      <c r="I15" s="14">
        <v>1</v>
      </c>
      <c r="J15" s="14" t="s">
        <v>25</v>
      </c>
      <c r="K15" s="17" t="s">
        <v>26</v>
      </c>
      <c r="L15" s="16">
        <v>12</v>
      </c>
      <c r="M15" s="17" t="s">
        <v>30</v>
      </c>
      <c r="N15" s="17" t="s">
        <v>26</v>
      </c>
      <c r="O15" s="16">
        <v>1</v>
      </c>
      <c r="P15" s="17" t="s">
        <v>27</v>
      </c>
      <c r="Q15" s="17"/>
      <c r="R15" s="14"/>
      <c r="S15" s="14"/>
      <c r="T15" s="18">
        <v>50000</v>
      </c>
      <c r="U15" s="19">
        <f>I15*T15*L15*O15</f>
        <v>600000</v>
      </c>
      <c r="V15" s="21"/>
    </row>
    <row r="16" spans="1:23" ht="18">
      <c r="A16" s="14"/>
      <c r="B16" s="14"/>
      <c r="C16" s="14" t="s">
        <v>31</v>
      </c>
      <c r="D16" s="22" t="s">
        <v>32</v>
      </c>
      <c r="E16" s="14" t="s">
        <v>33</v>
      </c>
      <c r="F16" s="23" t="s">
        <v>34</v>
      </c>
      <c r="G16" s="14" t="s">
        <v>35</v>
      </c>
      <c r="H16" s="14" t="s">
        <v>36</v>
      </c>
      <c r="I16" s="14">
        <v>14</v>
      </c>
      <c r="J16" s="14" t="s">
        <v>25</v>
      </c>
      <c r="K16" s="14" t="s">
        <v>26</v>
      </c>
      <c r="L16" s="14">
        <v>3</v>
      </c>
      <c r="M16" s="14" t="s">
        <v>30</v>
      </c>
      <c r="N16" s="14"/>
      <c r="O16" s="14"/>
      <c r="P16" s="14"/>
      <c r="Q16" s="14"/>
      <c r="R16" s="14"/>
      <c r="S16" s="14"/>
      <c r="T16" s="18">
        <v>27500</v>
      </c>
      <c r="U16" s="19">
        <f>I16*L16*T16</f>
        <v>1155000</v>
      </c>
      <c r="V16" s="21"/>
    </row>
    <row r="17" spans="1:22" ht="19.5" customHeight="1">
      <c r="A17" s="14"/>
      <c r="B17" s="14"/>
      <c r="C17" s="14"/>
      <c r="D17" s="14"/>
      <c r="E17" s="14" t="s">
        <v>33</v>
      </c>
      <c r="F17" s="23" t="s">
        <v>37</v>
      </c>
      <c r="G17" s="23" t="s">
        <v>38</v>
      </c>
      <c r="H17" s="14" t="s">
        <v>39</v>
      </c>
      <c r="I17" s="14">
        <v>14</v>
      </c>
      <c r="J17" s="14" t="s">
        <v>25</v>
      </c>
      <c r="K17" s="14" t="s">
        <v>26</v>
      </c>
      <c r="L17" s="14">
        <v>3</v>
      </c>
      <c r="M17" s="14" t="s">
        <v>30</v>
      </c>
      <c r="N17" s="14"/>
      <c r="O17" s="14"/>
      <c r="P17" s="14"/>
      <c r="Q17" s="14"/>
      <c r="R17" s="14"/>
      <c r="S17" s="14"/>
      <c r="T17" s="18">
        <v>17500</v>
      </c>
      <c r="U17" s="19">
        <f>I17*L17*T17</f>
        <v>735000</v>
      </c>
      <c r="V17" s="21"/>
    </row>
    <row r="18" spans="1:22">
      <c r="A18" s="14"/>
      <c r="B18" s="14"/>
      <c r="C18" s="24"/>
      <c r="D18" s="24"/>
      <c r="E18" s="14" t="s">
        <v>40</v>
      </c>
      <c r="F18" s="14"/>
      <c r="G18" s="14" t="s">
        <v>41</v>
      </c>
      <c r="H18" s="14" t="s">
        <v>42</v>
      </c>
      <c r="I18" s="14">
        <v>4</v>
      </c>
      <c r="J18" s="14" t="s">
        <v>43</v>
      </c>
      <c r="K18" s="14" t="s">
        <v>26</v>
      </c>
      <c r="L18" s="14"/>
      <c r="M18" s="14"/>
      <c r="N18" s="14"/>
      <c r="O18" s="14">
        <v>1</v>
      </c>
      <c r="P18" s="14" t="s">
        <v>27</v>
      </c>
      <c r="Q18" s="14"/>
      <c r="R18" s="14"/>
      <c r="S18" s="14"/>
      <c r="T18" s="18">
        <v>22500</v>
      </c>
      <c r="U18" s="19">
        <f>I18*O18*T18</f>
        <v>90000</v>
      </c>
      <c r="V18" s="21"/>
    </row>
    <row r="19" spans="1:22" ht="20.25" customHeight="1">
      <c r="A19" s="10"/>
      <c r="B19" s="25" t="s">
        <v>44</v>
      </c>
      <c r="C19" s="383" t="s">
        <v>45</v>
      </c>
      <c r="D19" s="384"/>
      <c r="E19" s="26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27"/>
      <c r="U19" s="27"/>
      <c r="V19" s="27">
        <f>SUM(U20)</f>
        <v>14400000</v>
      </c>
    </row>
    <row r="20" spans="1:22" ht="21" customHeight="1">
      <c r="A20" s="14"/>
      <c r="B20" s="14"/>
      <c r="C20" s="28" t="s">
        <v>19</v>
      </c>
      <c r="D20" s="29" t="s">
        <v>46</v>
      </c>
      <c r="E20" s="16" t="s">
        <v>21</v>
      </c>
      <c r="F20" s="17" t="s">
        <v>22</v>
      </c>
      <c r="G20" s="17" t="s">
        <v>23</v>
      </c>
      <c r="H20" s="17" t="s">
        <v>24</v>
      </c>
      <c r="I20" s="16">
        <v>2</v>
      </c>
      <c r="J20" s="17" t="s">
        <v>25</v>
      </c>
      <c r="K20" s="17" t="s">
        <v>26</v>
      </c>
      <c r="L20" s="16">
        <v>12</v>
      </c>
      <c r="M20" s="17" t="s">
        <v>30</v>
      </c>
      <c r="N20" s="17" t="s">
        <v>26</v>
      </c>
      <c r="O20" s="16"/>
      <c r="P20" s="17"/>
      <c r="Q20" s="17" t="s">
        <v>26</v>
      </c>
      <c r="R20" s="16">
        <v>12</v>
      </c>
      <c r="S20" s="16" t="s">
        <v>47</v>
      </c>
      <c r="T20" s="18">
        <v>50000</v>
      </c>
      <c r="U20" s="19">
        <f>I20*L20*R20*T20</f>
        <v>14400000</v>
      </c>
      <c r="V20" s="19"/>
    </row>
    <row r="21" spans="1:22" ht="42" customHeight="1">
      <c r="A21" s="10"/>
      <c r="B21" s="30" t="s">
        <v>48</v>
      </c>
      <c r="C21" s="385" t="s">
        <v>49</v>
      </c>
      <c r="D21" s="386"/>
      <c r="E21" s="26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2"/>
      <c r="U21" s="32"/>
      <c r="V21" s="27">
        <f>SUM(U22:U32)</f>
        <v>10380000</v>
      </c>
    </row>
    <row r="22" spans="1:22" ht="18">
      <c r="A22" s="14"/>
      <c r="B22" s="14"/>
      <c r="C22" s="33" t="s">
        <v>50</v>
      </c>
      <c r="D22" s="34" t="s">
        <v>51</v>
      </c>
      <c r="E22" s="35" t="s">
        <v>21</v>
      </c>
      <c r="F22" s="36" t="s">
        <v>22</v>
      </c>
      <c r="G22" s="36" t="s">
        <v>23</v>
      </c>
      <c r="H22" s="36" t="s">
        <v>24</v>
      </c>
      <c r="I22" s="35">
        <v>1</v>
      </c>
      <c r="J22" s="36" t="s">
        <v>25</v>
      </c>
      <c r="K22" s="36" t="s">
        <v>26</v>
      </c>
      <c r="L22" s="35">
        <v>12</v>
      </c>
      <c r="M22" s="36" t="s">
        <v>30</v>
      </c>
      <c r="N22" s="36" t="s">
        <v>26</v>
      </c>
      <c r="O22" s="35">
        <v>1</v>
      </c>
      <c r="P22" s="36" t="s">
        <v>27</v>
      </c>
      <c r="Q22" s="36"/>
      <c r="R22" s="35"/>
      <c r="S22" s="35"/>
      <c r="T22" s="37">
        <v>50000</v>
      </c>
      <c r="U22" s="38">
        <f>I22*T22*L22*O22</f>
        <v>600000</v>
      </c>
      <c r="V22" s="21"/>
    </row>
    <row r="23" spans="1:22" ht="18">
      <c r="A23" s="14"/>
      <c r="B23" s="14"/>
      <c r="C23" s="39" t="s">
        <v>52</v>
      </c>
      <c r="D23" s="34" t="s">
        <v>53</v>
      </c>
      <c r="E23" s="35" t="s">
        <v>21</v>
      </c>
      <c r="F23" s="36" t="s">
        <v>22</v>
      </c>
      <c r="G23" s="36" t="s">
        <v>23</v>
      </c>
      <c r="H23" s="36" t="s">
        <v>24</v>
      </c>
      <c r="I23" s="35">
        <v>3</v>
      </c>
      <c r="J23" s="36" t="s">
        <v>25</v>
      </c>
      <c r="K23" s="36" t="s">
        <v>26</v>
      </c>
      <c r="L23" s="35">
        <v>34</v>
      </c>
      <c r="M23" s="36" t="s">
        <v>54</v>
      </c>
      <c r="N23" s="36" t="s">
        <v>26</v>
      </c>
      <c r="O23" s="35">
        <v>1</v>
      </c>
      <c r="P23" s="36" t="s">
        <v>27</v>
      </c>
      <c r="Q23" s="36"/>
      <c r="R23" s="35"/>
      <c r="S23" s="35"/>
      <c r="T23" s="37">
        <v>50000</v>
      </c>
      <c r="U23" s="38">
        <f>I23*T23*L23*O23</f>
        <v>5100000</v>
      </c>
      <c r="V23" s="21"/>
    </row>
    <row r="24" spans="1:22" ht="45">
      <c r="A24" s="14"/>
      <c r="B24" s="14"/>
      <c r="C24" s="39" t="s">
        <v>55</v>
      </c>
      <c r="D24" s="34" t="s">
        <v>56</v>
      </c>
      <c r="E24" s="35" t="s">
        <v>21</v>
      </c>
      <c r="F24" s="36" t="s">
        <v>22</v>
      </c>
      <c r="G24" s="36" t="s">
        <v>23</v>
      </c>
      <c r="H24" s="36" t="s">
        <v>24</v>
      </c>
      <c r="I24" s="35">
        <v>5</v>
      </c>
      <c r="J24" s="36" t="s">
        <v>25</v>
      </c>
      <c r="K24" s="36" t="s">
        <v>26</v>
      </c>
      <c r="L24" s="35">
        <v>2</v>
      </c>
      <c r="M24" s="36" t="s">
        <v>57</v>
      </c>
      <c r="N24" s="36" t="s">
        <v>26</v>
      </c>
      <c r="O24" s="35">
        <v>1</v>
      </c>
      <c r="P24" s="36" t="s">
        <v>27</v>
      </c>
      <c r="Q24" s="36"/>
      <c r="R24" s="35"/>
      <c r="S24" s="35"/>
      <c r="T24" s="37">
        <v>50000</v>
      </c>
      <c r="U24" s="38">
        <f>I24*T24*L24*O24</f>
        <v>500000</v>
      </c>
      <c r="V24" s="21"/>
    </row>
    <row r="25" spans="1:22" ht="27">
      <c r="A25" s="14"/>
      <c r="B25" s="14"/>
      <c r="C25" s="39" t="s">
        <v>58</v>
      </c>
      <c r="D25" s="40" t="s">
        <v>59</v>
      </c>
      <c r="E25" s="35" t="s">
        <v>21</v>
      </c>
      <c r="F25" s="36" t="s">
        <v>22</v>
      </c>
      <c r="G25" s="36" t="s">
        <v>23</v>
      </c>
      <c r="H25" s="36" t="s">
        <v>24</v>
      </c>
      <c r="I25" s="35">
        <v>2</v>
      </c>
      <c r="J25" s="36" t="s">
        <v>25</v>
      </c>
      <c r="K25" s="36" t="s">
        <v>26</v>
      </c>
      <c r="L25" s="35">
        <v>1</v>
      </c>
      <c r="M25" s="36" t="s">
        <v>60</v>
      </c>
      <c r="N25" s="36" t="s">
        <v>26</v>
      </c>
      <c r="O25" s="35">
        <v>1</v>
      </c>
      <c r="P25" s="36" t="s">
        <v>27</v>
      </c>
      <c r="Q25" s="36"/>
      <c r="R25" s="35"/>
      <c r="S25" s="35"/>
      <c r="T25" s="37">
        <v>50000</v>
      </c>
      <c r="U25" s="38">
        <f>I25*T25*L25*O25</f>
        <v>100000</v>
      </c>
      <c r="V25" s="21"/>
    </row>
    <row r="26" spans="1:22" ht="18">
      <c r="A26" s="14"/>
      <c r="B26" s="14"/>
      <c r="C26" s="39"/>
      <c r="D26" s="40"/>
      <c r="E26" s="41" t="s">
        <v>33</v>
      </c>
      <c r="F26" s="42" t="s">
        <v>37</v>
      </c>
      <c r="G26" s="41" t="s">
        <v>35</v>
      </c>
      <c r="H26" s="41" t="s">
        <v>36</v>
      </c>
      <c r="I26" s="41">
        <v>20</v>
      </c>
      <c r="J26" s="41" t="s">
        <v>25</v>
      </c>
      <c r="K26" s="41" t="s">
        <v>26</v>
      </c>
      <c r="L26" s="41">
        <v>1</v>
      </c>
      <c r="M26" s="41" t="s">
        <v>27</v>
      </c>
      <c r="N26" s="41"/>
      <c r="O26" s="41"/>
      <c r="P26" s="41"/>
      <c r="Q26" s="41"/>
      <c r="R26" s="41"/>
      <c r="S26" s="41"/>
      <c r="T26" s="37">
        <v>27500</v>
      </c>
      <c r="U26" s="38">
        <f>I26*L26*T26</f>
        <v>550000</v>
      </c>
      <c r="V26" s="21"/>
    </row>
    <row r="27" spans="1:22" ht="18">
      <c r="A27" s="14"/>
      <c r="B27" s="14"/>
      <c r="C27" s="39"/>
      <c r="D27" s="40"/>
      <c r="E27" s="41" t="s">
        <v>33</v>
      </c>
      <c r="F27" s="42" t="s">
        <v>37</v>
      </c>
      <c r="G27" s="42" t="s">
        <v>38</v>
      </c>
      <c r="H27" s="41" t="s">
        <v>36</v>
      </c>
      <c r="I27" s="41">
        <v>20</v>
      </c>
      <c r="J27" s="41" t="s">
        <v>25</v>
      </c>
      <c r="K27" s="41" t="s">
        <v>26</v>
      </c>
      <c r="L27" s="41">
        <v>1</v>
      </c>
      <c r="M27" s="41" t="s">
        <v>27</v>
      </c>
      <c r="N27" s="41"/>
      <c r="O27" s="41"/>
      <c r="P27" s="41"/>
      <c r="Q27" s="41"/>
      <c r="R27" s="41"/>
      <c r="S27" s="41"/>
      <c r="T27" s="37">
        <v>17500</v>
      </c>
      <c r="U27" s="38">
        <f>I27*L27*T27</f>
        <v>350000</v>
      </c>
      <c r="V27" s="21"/>
    </row>
    <row r="28" spans="1:22">
      <c r="A28" s="14"/>
      <c r="B28" s="14"/>
      <c r="C28" s="39"/>
      <c r="D28" s="40"/>
      <c r="E28" s="41" t="s">
        <v>40</v>
      </c>
      <c r="F28" s="41"/>
      <c r="G28" s="41" t="s">
        <v>41</v>
      </c>
      <c r="H28" s="41" t="s">
        <v>42</v>
      </c>
      <c r="I28" s="41">
        <v>4</v>
      </c>
      <c r="J28" s="41" t="s">
        <v>43</v>
      </c>
      <c r="K28" s="41" t="s">
        <v>26</v>
      </c>
      <c r="L28" s="41">
        <v>1</v>
      </c>
      <c r="M28" s="41" t="s">
        <v>27</v>
      </c>
      <c r="N28" s="41"/>
      <c r="O28" s="41"/>
      <c r="P28" s="41"/>
      <c r="Q28" s="41"/>
      <c r="R28" s="41"/>
      <c r="S28" s="41"/>
      <c r="T28" s="37">
        <v>22500</v>
      </c>
      <c r="U28" s="38">
        <f>I28*L28*T28</f>
        <v>90000</v>
      </c>
      <c r="V28" s="21"/>
    </row>
    <row r="29" spans="1:22" ht="30.75" customHeight="1">
      <c r="A29" s="14"/>
      <c r="B29" s="14"/>
      <c r="C29" s="43" t="s">
        <v>61</v>
      </c>
      <c r="D29" s="40" t="s">
        <v>62</v>
      </c>
      <c r="E29" s="16" t="s">
        <v>21</v>
      </c>
      <c r="F29" s="17" t="s">
        <v>22</v>
      </c>
      <c r="G29" s="17" t="s">
        <v>23</v>
      </c>
      <c r="H29" s="17" t="s">
        <v>24</v>
      </c>
      <c r="I29" s="16">
        <v>2</v>
      </c>
      <c r="J29" s="17" t="s">
        <v>25</v>
      </c>
      <c r="K29" s="17" t="s">
        <v>26</v>
      </c>
      <c r="L29" s="16">
        <v>3</v>
      </c>
      <c r="M29" s="17" t="s">
        <v>60</v>
      </c>
      <c r="N29" s="17" t="s">
        <v>26</v>
      </c>
      <c r="O29" s="16">
        <v>1</v>
      </c>
      <c r="P29" s="17" t="s">
        <v>27</v>
      </c>
      <c r="Q29" s="17"/>
      <c r="R29" s="16"/>
      <c r="S29" s="16"/>
      <c r="T29" s="18">
        <v>50000</v>
      </c>
      <c r="U29" s="19">
        <f>I29*T29*L29*O29</f>
        <v>300000</v>
      </c>
      <c r="V29" s="21"/>
    </row>
    <row r="30" spans="1:22" ht="18">
      <c r="A30" s="14"/>
      <c r="B30" s="14"/>
      <c r="C30" s="43"/>
      <c r="D30" s="40"/>
      <c r="E30" s="14" t="s">
        <v>33</v>
      </c>
      <c r="F30" s="23" t="s">
        <v>37</v>
      </c>
      <c r="G30" s="14" t="s">
        <v>35</v>
      </c>
      <c r="H30" s="14" t="s">
        <v>39</v>
      </c>
      <c r="I30" s="14">
        <v>20</v>
      </c>
      <c r="J30" s="14" t="s">
        <v>25</v>
      </c>
      <c r="K30" s="14" t="s">
        <v>26</v>
      </c>
      <c r="L30" s="14">
        <v>3</v>
      </c>
      <c r="M30" s="14" t="s">
        <v>27</v>
      </c>
      <c r="N30" s="14"/>
      <c r="O30" s="14"/>
      <c r="P30" s="14"/>
      <c r="Q30" s="14"/>
      <c r="R30" s="14"/>
      <c r="S30" s="14"/>
      <c r="T30" s="18">
        <v>27500</v>
      </c>
      <c r="U30" s="19">
        <f>I30*L30*T30</f>
        <v>1650000</v>
      </c>
      <c r="V30" s="21"/>
    </row>
    <row r="31" spans="1:22" ht="21" customHeight="1">
      <c r="A31" s="14"/>
      <c r="B31" s="14"/>
      <c r="C31" s="43"/>
      <c r="D31" s="40"/>
      <c r="E31" s="14" t="s">
        <v>33</v>
      </c>
      <c r="F31" s="23" t="s">
        <v>37</v>
      </c>
      <c r="G31" s="23" t="s">
        <v>38</v>
      </c>
      <c r="H31" s="14" t="s">
        <v>39</v>
      </c>
      <c r="I31" s="14">
        <v>20</v>
      </c>
      <c r="J31" s="14" t="s">
        <v>25</v>
      </c>
      <c r="K31" s="14" t="s">
        <v>26</v>
      </c>
      <c r="L31" s="14">
        <v>3</v>
      </c>
      <c r="M31" s="14" t="s">
        <v>27</v>
      </c>
      <c r="N31" s="14"/>
      <c r="O31" s="14"/>
      <c r="P31" s="14"/>
      <c r="Q31" s="14"/>
      <c r="R31" s="14"/>
      <c r="S31" s="14"/>
      <c r="T31" s="18">
        <v>17500</v>
      </c>
      <c r="U31" s="19">
        <f>I31*L31*T31</f>
        <v>1050000</v>
      </c>
      <c r="V31" s="21"/>
    </row>
    <row r="32" spans="1:22">
      <c r="A32" s="14"/>
      <c r="B32" s="14"/>
      <c r="C32" s="44"/>
      <c r="D32" s="45"/>
      <c r="E32" s="14" t="s">
        <v>40</v>
      </c>
      <c r="F32" s="14"/>
      <c r="G32" s="14" t="s">
        <v>41</v>
      </c>
      <c r="H32" s="14" t="s">
        <v>42</v>
      </c>
      <c r="I32" s="14">
        <v>4</v>
      </c>
      <c r="J32" s="14" t="s">
        <v>43</v>
      </c>
      <c r="K32" s="14" t="s">
        <v>26</v>
      </c>
      <c r="L32" s="14">
        <v>1</v>
      </c>
      <c r="M32" s="14" t="s">
        <v>27</v>
      </c>
      <c r="N32" s="14"/>
      <c r="O32" s="14"/>
      <c r="P32" s="14"/>
      <c r="Q32" s="14"/>
      <c r="R32" s="14"/>
      <c r="S32" s="14"/>
      <c r="T32" s="18">
        <v>22500</v>
      </c>
      <c r="U32" s="19">
        <f>I32*L32*T32</f>
        <v>90000</v>
      </c>
      <c r="V32" s="21"/>
    </row>
    <row r="33" spans="1:22" ht="39" customHeight="1">
      <c r="A33" s="10"/>
      <c r="B33" s="25" t="s">
        <v>63</v>
      </c>
      <c r="C33" s="383" t="s">
        <v>64</v>
      </c>
      <c r="D33" s="384"/>
      <c r="E33" s="46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3"/>
      <c r="U33" s="27"/>
      <c r="V33" s="27">
        <f>SUM(U34:U51)</f>
        <v>18966250</v>
      </c>
    </row>
    <row r="34" spans="1:22" ht="22.5" customHeight="1">
      <c r="A34" s="14"/>
      <c r="B34" s="14"/>
      <c r="C34" s="47" t="s">
        <v>50</v>
      </c>
      <c r="D34" s="20" t="s">
        <v>65</v>
      </c>
      <c r="E34" s="48" t="s">
        <v>21</v>
      </c>
      <c r="F34" s="17" t="s">
        <v>22</v>
      </c>
      <c r="G34" s="17" t="s">
        <v>23</v>
      </c>
      <c r="H34" s="17" t="s">
        <v>24</v>
      </c>
      <c r="I34" s="16">
        <v>5</v>
      </c>
      <c r="J34" s="17" t="s">
        <v>25</v>
      </c>
      <c r="K34" s="17" t="s">
        <v>26</v>
      </c>
      <c r="L34" s="16">
        <v>18</v>
      </c>
      <c r="M34" s="17" t="s">
        <v>66</v>
      </c>
      <c r="N34" s="17" t="s">
        <v>26</v>
      </c>
      <c r="O34" s="16">
        <v>1</v>
      </c>
      <c r="P34" s="17" t="s">
        <v>27</v>
      </c>
      <c r="Q34" s="17"/>
      <c r="R34" s="16"/>
      <c r="S34" s="16"/>
      <c r="T34" s="18">
        <v>50000</v>
      </c>
      <c r="U34" s="19">
        <f>I34*T34*L34*O34</f>
        <v>4500000</v>
      </c>
      <c r="V34" s="21"/>
    </row>
    <row r="35" spans="1:22" ht="36.75" customHeight="1">
      <c r="A35" s="14"/>
      <c r="B35" s="14"/>
      <c r="C35" s="43" t="s">
        <v>67</v>
      </c>
      <c r="D35" s="20" t="s">
        <v>68</v>
      </c>
      <c r="E35" s="48" t="s">
        <v>21</v>
      </c>
      <c r="F35" s="17" t="s">
        <v>22</v>
      </c>
      <c r="G35" s="17" t="s">
        <v>23</v>
      </c>
      <c r="H35" s="17" t="s">
        <v>24</v>
      </c>
      <c r="I35" s="16">
        <v>3</v>
      </c>
      <c r="J35" s="17" t="s">
        <v>25</v>
      </c>
      <c r="K35" s="17" t="s">
        <v>26</v>
      </c>
      <c r="L35" s="16">
        <v>3</v>
      </c>
      <c r="M35" s="17" t="s">
        <v>69</v>
      </c>
      <c r="N35" s="17" t="s">
        <v>26</v>
      </c>
      <c r="O35" s="16">
        <v>1</v>
      </c>
      <c r="P35" s="17" t="s">
        <v>27</v>
      </c>
      <c r="Q35" s="17"/>
      <c r="R35" s="16"/>
      <c r="S35" s="16"/>
      <c r="T35" s="18">
        <v>50000</v>
      </c>
      <c r="U35" s="19">
        <f>I35*T35*L35*O35</f>
        <v>450000</v>
      </c>
      <c r="V35" s="21"/>
    </row>
    <row r="36" spans="1:22" ht="25.5" customHeight="1">
      <c r="A36" s="14"/>
      <c r="B36" s="14"/>
      <c r="C36" s="43" t="s">
        <v>52</v>
      </c>
      <c r="D36" s="49" t="s">
        <v>70</v>
      </c>
      <c r="E36" s="14" t="s">
        <v>33</v>
      </c>
      <c r="F36" s="23" t="s">
        <v>37</v>
      </c>
      <c r="G36" s="14" t="s">
        <v>35</v>
      </c>
      <c r="H36" s="14" t="s">
        <v>24</v>
      </c>
      <c r="I36" s="14">
        <v>22</v>
      </c>
      <c r="J36" s="14" t="s">
        <v>25</v>
      </c>
      <c r="K36" s="14" t="s">
        <v>26</v>
      </c>
      <c r="L36" s="14">
        <v>1</v>
      </c>
      <c r="M36" s="14" t="s">
        <v>27</v>
      </c>
      <c r="N36" s="14"/>
      <c r="O36" s="14"/>
      <c r="P36" s="14"/>
      <c r="Q36" s="14"/>
      <c r="R36" s="14"/>
      <c r="S36" s="14"/>
      <c r="T36" s="18">
        <v>27500</v>
      </c>
      <c r="U36" s="19">
        <f t="shared" ref="U36:U47" si="0">I36*L36*T36</f>
        <v>605000</v>
      </c>
      <c r="V36" s="21"/>
    </row>
    <row r="37" spans="1:22" ht="20.25" customHeight="1">
      <c r="A37" s="14"/>
      <c r="B37" s="14"/>
      <c r="C37" s="43"/>
      <c r="D37" s="50"/>
      <c r="E37" s="14" t="s">
        <v>33</v>
      </c>
      <c r="F37" s="23" t="s">
        <v>37</v>
      </c>
      <c r="G37" s="23" t="s">
        <v>38</v>
      </c>
      <c r="H37" s="14" t="s">
        <v>24</v>
      </c>
      <c r="I37" s="14">
        <v>22</v>
      </c>
      <c r="J37" s="14" t="s">
        <v>25</v>
      </c>
      <c r="K37" s="14" t="s">
        <v>26</v>
      </c>
      <c r="L37" s="14">
        <v>1</v>
      </c>
      <c r="M37" s="14" t="s">
        <v>27</v>
      </c>
      <c r="N37" s="14"/>
      <c r="O37" s="14"/>
      <c r="P37" s="14"/>
      <c r="Q37" s="14"/>
      <c r="R37" s="14"/>
      <c r="S37" s="14"/>
      <c r="T37" s="18">
        <v>17500</v>
      </c>
      <c r="U37" s="19">
        <f t="shared" si="0"/>
        <v>385000</v>
      </c>
      <c r="V37" s="21"/>
    </row>
    <row r="38" spans="1:22" ht="17.45" customHeight="1">
      <c r="A38" s="14"/>
      <c r="B38" s="14"/>
      <c r="C38" s="43"/>
      <c r="D38" s="50"/>
      <c r="E38" s="14" t="s">
        <v>40</v>
      </c>
      <c r="F38" s="14"/>
      <c r="G38" s="14" t="s">
        <v>71</v>
      </c>
      <c r="H38" s="14" t="s">
        <v>42</v>
      </c>
      <c r="I38" s="14">
        <v>4</v>
      </c>
      <c r="J38" s="14" t="s">
        <v>43</v>
      </c>
      <c r="K38" s="14" t="s">
        <v>26</v>
      </c>
      <c r="L38" s="14">
        <v>1</v>
      </c>
      <c r="M38" s="14" t="s">
        <v>27</v>
      </c>
      <c r="N38" s="14"/>
      <c r="O38" s="14"/>
      <c r="P38" s="14"/>
      <c r="Q38" s="14"/>
      <c r="R38" s="14"/>
      <c r="S38" s="14"/>
      <c r="T38" s="18">
        <v>22500</v>
      </c>
      <c r="U38" s="19">
        <f t="shared" si="0"/>
        <v>90000</v>
      </c>
      <c r="V38" s="21"/>
    </row>
    <row r="39" spans="1:22" ht="30" customHeight="1">
      <c r="A39" s="14"/>
      <c r="B39" s="14"/>
      <c r="C39" s="43"/>
      <c r="D39" s="50"/>
      <c r="E39" s="51" t="s">
        <v>72</v>
      </c>
      <c r="F39" s="17" t="s">
        <v>73</v>
      </c>
      <c r="G39" s="17" t="s">
        <v>74</v>
      </c>
      <c r="H39" s="14" t="s">
        <v>24</v>
      </c>
      <c r="I39" s="14">
        <v>22</v>
      </c>
      <c r="J39" s="14" t="s">
        <v>25</v>
      </c>
      <c r="K39" s="14" t="s">
        <v>26</v>
      </c>
      <c r="L39" s="14">
        <v>1</v>
      </c>
      <c r="M39" s="14" t="s">
        <v>27</v>
      </c>
      <c r="N39" s="14"/>
      <c r="O39" s="14"/>
      <c r="P39" s="14"/>
      <c r="Q39" s="14"/>
      <c r="R39" s="14"/>
      <c r="S39" s="14"/>
      <c r="T39" s="18">
        <v>50000</v>
      </c>
      <c r="U39" s="19">
        <f t="shared" si="0"/>
        <v>1100000</v>
      </c>
      <c r="V39" s="21"/>
    </row>
    <row r="40" spans="1:22" ht="30" customHeight="1">
      <c r="A40" s="14"/>
      <c r="B40" s="14"/>
      <c r="C40" s="43" t="s">
        <v>55</v>
      </c>
      <c r="D40" s="20" t="s">
        <v>75</v>
      </c>
      <c r="E40" s="14" t="s">
        <v>33</v>
      </c>
      <c r="F40" s="23" t="s">
        <v>37</v>
      </c>
      <c r="G40" s="14" t="s">
        <v>35</v>
      </c>
      <c r="H40" s="14" t="s">
        <v>24</v>
      </c>
      <c r="I40" s="14">
        <v>62</v>
      </c>
      <c r="J40" s="14" t="s">
        <v>25</v>
      </c>
      <c r="K40" s="14" t="s">
        <v>26</v>
      </c>
      <c r="L40" s="14">
        <v>1</v>
      </c>
      <c r="M40" s="14" t="s">
        <v>27</v>
      </c>
      <c r="N40" s="14"/>
      <c r="O40" s="14"/>
      <c r="P40" s="14"/>
      <c r="Q40" s="14"/>
      <c r="R40" s="14"/>
      <c r="S40" s="14"/>
      <c r="T40" s="18">
        <v>27500</v>
      </c>
      <c r="U40" s="19">
        <f t="shared" si="0"/>
        <v>1705000</v>
      </c>
      <c r="V40" s="21"/>
    </row>
    <row r="41" spans="1:22" ht="34.5" customHeight="1">
      <c r="A41" s="14"/>
      <c r="B41" s="14"/>
      <c r="C41" s="43"/>
      <c r="D41" s="50"/>
      <c r="E41" s="14" t="s">
        <v>33</v>
      </c>
      <c r="F41" s="23" t="s">
        <v>37</v>
      </c>
      <c r="G41" s="23" t="s">
        <v>38</v>
      </c>
      <c r="H41" s="14" t="s">
        <v>24</v>
      </c>
      <c r="I41" s="14">
        <v>62</v>
      </c>
      <c r="J41" s="14" t="s">
        <v>25</v>
      </c>
      <c r="K41" s="14" t="s">
        <v>26</v>
      </c>
      <c r="L41" s="14">
        <v>1</v>
      </c>
      <c r="M41" s="14" t="s">
        <v>27</v>
      </c>
      <c r="N41" s="14"/>
      <c r="O41" s="14"/>
      <c r="P41" s="14"/>
      <c r="Q41" s="14"/>
      <c r="R41" s="14"/>
      <c r="S41" s="14"/>
      <c r="T41" s="18">
        <v>17500</v>
      </c>
      <c r="U41" s="19">
        <f t="shared" si="0"/>
        <v>1085000</v>
      </c>
      <c r="V41" s="21"/>
    </row>
    <row r="42" spans="1:22" ht="17.45" customHeight="1">
      <c r="A42" s="14"/>
      <c r="B42" s="14"/>
      <c r="C42" s="43"/>
      <c r="D42" s="50"/>
      <c r="E42" s="14" t="s">
        <v>40</v>
      </c>
      <c r="F42" s="14"/>
      <c r="G42" s="14" t="s">
        <v>71</v>
      </c>
      <c r="H42" s="14" t="s">
        <v>42</v>
      </c>
      <c r="I42" s="14">
        <v>4</v>
      </c>
      <c r="J42" s="14" t="s">
        <v>43</v>
      </c>
      <c r="K42" s="14" t="s">
        <v>26</v>
      </c>
      <c r="L42" s="14">
        <v>1</v>
      </c>
      <c r="M42" s="14" t="s">
        <v>27</v>
      </c>
      <c r="N42" s="14"/>
      <c r="O42" s="14"/>
      <c r="P42" s="14"/>
      <c r="Q42" s="14"/>
      <c r="R42" s="14"/>
      <c r="S42" s="14"/>
      <c r="T42" s="18">
        <v>22500</v>
      </c>
      <c r="U42" s="19">
        <f t="shared" si="0"/>
        <v>90000</v>
      </c>
      <c r="V42" s="21"/>
    </row>
    <row r="43" spans="1:22" ht="24" customHeight="1">
      <c r="A43" s="14"/>
      <c r="B43" s="14"/>
      <c r="C43" s="43"/>
      <c r="D43" s="50"/>
      <c r="E43" s="51" t="s">
        <v>72</v>
      </c>
      <c r="F43" s="17" t="s">
        <v>73</v>
      </c>
      <c r="G43" s="17" t="s">
        <v>74</v>
      </c>
      <c r="H43" s="14" t="s">
        <v>24</v>
      </c>
      <c r="I43" s="14">
        <v>62</v>
      </c>
      <c r="J43" s="14" t="s">
        <v>25</v>
      </c>
      <c r="K43" s="14" t="s">
        <v>26</v>
      </c>
      <c r="L43" s="14">
        <v>1</v>
      </c>
      <c r="M43" s="14" t="s">
        <v>27</v>
      </c>
      <c r="N43" s="14"/>
      <c r="O43" s="14"/>
      <c r="P43" s="14"/>
      <c r="Q43" s="14"/>
      <c r="R43" s="14"/>
      <c r="S43" s="14"/>
      <c r="T43" s="18">
        <v>50000</v>
      </c>
      <c r="U43" s="19">
        <f t="shared" si="0"/>
        <v>3100000</v>
      </c>
      <c r="V43" s="21"/>
    </row>
    <row r="44" spans="1:22" ht="30" customHeight="1">
      <c r="A44" s="14"/>
      <c r="B44" s="14"/>
      <c r="C44" s="43" t="s">
        <v>58</v>
      </c>
      <c r="D44" s="49" t="s">
        <v>76</v>
      </c>
      <c r="E44" s="14" t="s">
        <v>33</v>
      </c>
      <c r="F44" s="23" t="s">
        <v>37</v>
      </c>
      <c r="G44" s="14" t="s">
        <v>35</v>
      </c>
      <c r="H44" s="14" t="s">
        <v>24</v>
      </c>
      <c r="I44" s="14">
        <v>35</v>
      </c>
      <c r="J44" s="14" t="s">
        <v>25</v>
      </c>
      <c r="K44" s="14" t="s">
        <v>26</v>
      </c>
      <c r="L44" s="14">
        <v>1</v>
      </c>
      <c r="M44" s="14" t="s">
        <v>27</v>
      </c>
      <c r="N44" s="14"/>
      <c r="O44" s="14"/>
      <c r="P44" s="14"/>
      <c r="Q44" s="14"/>
      <c r="R44" s="14"/>
      <c r="S44" s="14"/>
      <c r="T44" s="18">
        <v>27500</v>
      </c>
      <c r="U44" s="19">
        <f t="shared" si="0"/>
        <v>962500</v>
      </c>
      <c r="V44" s="21"/>
    </row>
    <row r="45" spans="1:22" ht="30.75" customHeight="1">
      <c r="A45" s="14"/>
      <c r="B45" s="14"/>
      <c r="C45" s="43"/>
      <c r="D45" s="50"/>
      <c r="E45" s="14" t="s">
        <v>33</v>
      </c>
      <c r="F45" s="23" t="s">
        <v>37</v>
      </c>
      <c r="G45" s="23" t="s">
        <v>38</v>
      </c>
      <c r="H45" s="14" t="s">
        <v>24</v>
      </c>
      <c r="I45" s="14">
        <v>35</v>
      </c>
      <c r="J45" s="14" t="s">
        <v>25</v>
      </c>
      <c r="K45" s="14" t="s">
        <v>26</v>
      </c>
      <c r="L45" s="14">
        <v>1</v>
      </c>
      <c r="M45" s="14" t="s">
        <v>27</v>
      </c>
      <c r="N45" s="14"/>
      <c r="O45" s="14"/>
      <c r="P45" s="14"/>
      <c r="Q45" s="14"/>
      <c r="R45" s="14"/>
      <c r="S45" s="14"/>
      <c r="T45" s="18">
        <v>17500</v>
      </c>
      <c r="U45" s="19">
        <f t="shared" si="0"/>
        <v>612500</v>
      </c>
      <c r="V45" s="21"/>
    </row>
    <row r="46" spans="1:22" ht="17.45" customHeight="1">
      <c r="A46" s="14"/>
      <c r="B46" s="14"/>
      <c r="C46" s="43"/>
      <c r="D46" s="50"/>
      <c r="E46" s="14" t="s">
        <v>40</v>
      </c>
      <c r="F46" s="14"/>
      <c r="G46" s="14" t="s">
        <v>71</v>
      </c>
      <c r="H46" s="14" t="s">
        <v>42</v>
      </c>
      <c r="I46" s="14">
        <v>4</v>
      </c>
      <c r="J46" s="14" t="s">
        <v>43</v>
      </c>
      <c r="K46" s="14" t="s">
        <v>26</v>
      </c>
      <c r="L46" s="14">
        <v>1</v>
      </c>
      <c r="M46" s="14" t="s">
        <v>27</v>
      </c>
      <c r="N46" s="14"/>
      <c r="O46" s="14"/>
      <c r="P46" s="14"/>
      <c r="Q46" s="14"/>
      <c r="R46" s="14"/>
      <c r="S46" s="14"/>
      <c r="T46" s="18">
        <v>22500</v>
      </c>
      <c r="U46" s="19">
        <f t="shared" si="0"/>
        <v>90000</v>
      </c>
      <c r="V46" s="21"/>
    </row>
    <row r="47" spans="1:22" ht="20.25" customHeight="1">
      <c r="A47" s="14"/>
      <c r="B47" s="24"/>
      <c r="C47" s="44"/>
      <c r="D47" s="45"/>
      <c r="E47" s="51" t="s">
        <v>72</v>
      </c>
      <c r="F47" s="17" t="s">
        <v>73</v>
      </c>
      <c r="G47" s="17" t="s">
        <v>74</v>
      </c>
      <c r="H47" s="14" t="s">
        <v>24</v>
      </c>
      <c r="I47" s="14">
        <v>35</v>
      </c>
      <c r="J47" s="14" t="s">
        <v>25</v>
      </c>
      <c r="K47" s="14" t="s">
        <v>26</v>
      </c>
      <c r="L47" s="14">
        <v>1</v>
      </c>
      <c r="M47" s="14" t="s">
        <v>27</v>
      </c>
      <c r="N47" s="14"/>
      <c r="O47" s="14"/>
      <c r="P47" s="14"/>
      <c r="Q47" s="14"/>
      <c r="R47" s="14"/>
      <c r="S47" s="14"/>
      <c r="T47" s="18">
        <v>50000</v>
      </c>
      <c r="U47" s="19">
        <f t="shared" si="0"/>
        <v>1750000</v>
      </c>
      <c r="V47" s="21"/>
    </row>
    <row r="48" spans="1:22" ht="20.25" customHeight="1">
      <c r="A48" s="321"/>
      <c r="B48" s="288"/>
      <c r="C48" s="381" t="s">
        <v>237</v>
      </c>
      <c r="D48" s="382"/>
      <c r="E48" s="322"/>
      <c r="F48" s="290"/>
      <c r="G48" s="290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309"/>
      <c r="U48" s="310"/>
      <c r="V48" s="310">
        <f>SUM(U49:U51)</f>
        <v>2441250</v>
      </c>
    </row>
    <row r="49" spans="1:23" ht="20.25" customHeight="1">
      <c r="A49" s="321"/>
      <c r="B49" s="288"/>
      <c r="C49" s="323" t="s">
        <v>19</v>
      </c>
      <c r="D49" s="324" t="s">
        <v>238</v>
      </c>
      <c r="E49" s="286" t="s">
        <v>33</v>
      </c>
      <c r="F49" s="290" t="s">
        <v>37</v>
      </c>
      <c r="G49" s="286" t="s">
        <v>35</v>
      </c>
      <c r="H49" s="286" t="s">
        <v>24</v>
      </c>
      <c r="I49" s="286">
        <v>26</v>
      </c>
      <c r="J49" s="286" t="s">
        <v>25</v>
      </c>
      <c r="K49" s="286" t="s">
        <v>26</v>
      </c>
      <c r="L49" s="286">
        <v>2</v>
      </c>
      <c r="M49" s="286" t="s">
        <v>27</v>
      </c>
      <c r="N49" s="286"/>
      <c r="O49" s="286"/>
      <c r="P49" s="286"/>
      <c r="Q49" s="286"/>
      <c r="R49" s="286"/>
      <c r="S49" s="286"/>
      <c r="T49" s="309">
        <v>27500</v>
      </c>
      <c r="U49" s="310">
        <f t="shared" ref="U49:U51" si="1">I49*L49*T49</f>
        <v>1430000</v>
      </c>
      <c r="V49" s="310"/>
      <c r="W49" s="1" t="s">
        <v>240</v>
      </c>
    </row>
    <row r="50" spans="1:23" ht="20.25" customHeight="1">
      <c r="A50" s="321"/>
      <c r="B50" s="288"/>
      <c r="C50" s="288"/>
      <c r="D50" s="288"/>
      <c r="E50" s="286" t="s">
        <v>33</v>
      </c>
      <c r="F50" s="290" t="s">
        <v>37</v>
      </c>
      <c r="G50" s="290" t="s">
        <v>38</v>
      </c>
      <c r="H50" s="286" t="s">
        <v>24</v>
      </c>
      <c r="I50" s="286">
        <v>26</v>
      </c>
      <c r="J50" s="286" t="s">
        <v>25</v>
      </c>
      <c r="K50" s="286" t="s">
        <v>26</v>
      </c>
      <c r="L50" s="286">
        <v>2</v>
      </c>
      <c r="M50" s="286" t="s">
        <v>27</v>
      </c>
      <c r="N50" s="286"/>
      <c r="O50" s="286"/>
      <c r="P50" s="286"/>
      <c r="Q50" s="286"/>
      <c r="R50" s="286"/>
      <c r="S50" s="286"/>
      <c r="T50" s="309">
        <v>17500</v>
      </c>
      <c r="U50" s="310">
        <f t="shared" si="1"/>
        <v>910000</v>
      </c>
      <c r="V50" s="310"/>
    </row>
    <row r="51" spans="1:23" ht="20.25" customHeight="1">
      <c r="A51" s="321"/>
      <c r="B51" s="288"/>
      <c r="C51" s="288"/>
      <c r="D51" s="288"/>
      <c r="E51" s="286" t="s">
        <v>40</v>
      </c>
      <c r="F51" s="286"/>
      <c r="G51" s="286" t="s">
        <v>71</v>
      </c>
      <c r="H51" s="286" t="s">
        <v>42</v>
      </c>
      <c r="I51" s="286">
        <v>4.5</v>
      </c>
      <c r="J51" s="286" t="s">
        <v>43</v>
      </c>
      <c r="K51" s="286" t="s">
        <v>26</v>
      </c>
      <c r="L51" s="286">
        <v>1</v>
      </c>
      <c r="M51" s="286" t="s">
        <v>27</v>
      </c>
      <c r="N51" s="286"/>
      <c r="O51" s="286"/>
      <c r="P51" s="286"/>
      <c r="Q51" s="286"/>
      <c r="R51" s="286"/>
      <c r="S51" s="286"/>
      <c r="T51" s="309">
        <v>22500</v>
      </c>
      <c r="U51" s="310">
        <f t="shared" si="1"/>
        <v>101250</v>
      </c>
      <c r="V51" s="310"/>
    </row>
    <row r="52" spans="1:23" ht="22.5" customHeight="1">
      <c r="A52" s="10"/>
      <c r="B52" s="302" t="s">
        <v>77</v>
      </c>
      <c r="C52" s="327" t="s">
        <v>78</v>
      </c>
      <c r="D52" s="328"/>
      <c r="E52" s="46"/>
      <c r="F52" s="10"/>
      <c r="G52" s="11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3"/>
      <c r="U52" s="27"/>
      <c r="V52" s="27">
        <f>SUM(U53:U55)</f>
        <v>2340000</v>
      </c>
    </row>
    <row r="53" spans="1:23" ht="21" customHeight="1">
      <c r="A53" s="14"/>
      <c r="B53" s="14"/>
      <c r="C53" s="47" t="s">
        <v>50</v>
      </c>
      <c r="D53" s="15" t="s">
        <v>79</v>
      </c>
      <c r="E53" s="14" t="s">
        <v>33</v>
      </c>
      <c r="F53" s="23" t="s">
        <v>37</v>
      </c>
      <c r="G53" s="14" t="s">
        <v>35</v>
      </c>
      <c r="H53" s="14" t="s">
        <v>24</v>
      </c>
      <c r="I53" s="14">
        <v>25</v>
      </c>
      <c r="J53" s="14" t="s">
        <v>25</v>
      </c>
      <c r="K53" s="14" t="s">
        <v>26</v>
      </c>
      <c r="L53" s="14">
        <v>2</v>
      </c>
      <c r="M53" s="14" t="s">
        <v>27</v>
      </c>
      <c r="N53" s="14"/>
      <c r="O53" s="14"/>
      <c r="P53" s="14"/>
      <c r="Q53" s="14"/>
      <c r="R53" s="14"/>
      <c r="S53" s="14"/>
      <c r="T53" s="18">
        <v>27500</v>
      </c>
      <c r="U53" s="19">
        <f>I53*L53*T53</f>
        <v>1375000</v>
      </c>
      <c r="V53" s="21"/>
    </row>
    <row r="54" spans="1:23" ht="21" customHeight="1">
      <c r="A54" s="14"/>
      <c r="B54" s="14"/>
      <c r="C54" s="43"/>
      <c r="D54" s="50"/>
      <c r="E54" s="14" t="s">
        <v>33</v>
      </c>
      <c r="F54" s="23" t="s">
        <v>37</v>
      </c>
      <c r="G54" s="23" t="s">
        <v>38</v>
      </c>
      <c r="H54" s="14" t="s">
        <v>24</v>
      </c>
      <c r="I54" s="14">
        <v>25</v>
      </c>
      <c r="J54" s="14" t="s">
        <v>25</v>
      </c>
      <c r="K54" s="14" t="s">
        <v>26</v>
      </c>
      <c r="L54" s="14">
        <v>2</v>
      </c>
      <c r="M54" s="14" t="s">
        <v>27</v>
      </c>
      <c r="N54" s="14"/>
      <c r="O54" s="14"/>
      <c r="P54" s="14"/>
      <c r="Q54" s="14"/>
      <c r="R54" s="14"/>
      <c r="S54" s="14"/>
      <c r="T54" s="18">
        <v>17500</v>
      </c>
      <c r="U54" s="19">
        <f>I54*L54*T54</f>
        <v>875000</v>
      </c>
      <c r="V54" s="21"/>
    </row>
    <row r="55" spans="1:23" ht="17.45" customHeight="1">
      <c r="A55" s="14"/>
      <c r="B55" s="14"/>
      <c r="C55" s="43"/>
      <c r="D55" s="50"/>
      <c r="E55" s="14" t="s">
        <v>40</v>
      </c>
      <c r="F55" s="14"/>
      <c r="G55" s="14" t="s">
        <v>71</v>
      </c>
      <c r="H55" s="14" t="s">
        <v>42</v>
      </c>
      <c r="I55" s="14">
        <v>4</v>
      </c>
      <c r="J55" s="14" t="s">
        <v>43</v>
      </c>
      <c r="K55" s="14" t="s">
        <v>26</v>
      </c>
      <c r="L55" s="14">
        <v>1</v>
      </c>
      <c r="M55" s="14" t="s">
        <v>27</v>
      </c>
      <c r="N55" s="14"/>
      <c r="O55" s="14"/>
      <c r="P55" s="14"/>
      <c r="Q55" s="14"/>
      <c r="R55" s="14"/>
      <c r="S55" s="14"/>
      <c r="T55" s="18">
        <v>22500</v>
      </c>
      <c r="U55" s="19">
        <f>I55*L55*T55</f>
        <v>90000</v>
      </c>
      <c r="V55" s="21"/>
    </row>
    <row r="56" spans="1:23" ht="24" customHeight="1">
      <c r="A56" s="10"/>
      <c r="B56" s="30" t="s">
        <v>80</v>
      </c>
      <c r="C56" s="387" t="s">
        <v>81</v>
      </c>
      <c r="D56" s="388"/>
      <c r="E56" s="46"/>
      <c r="F56" s="10"/>
      <c r="G56" s="11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3"/>
      <c r="U56" s="27"/>
      <c r="V56" s="27">
        <f>SUM(U57)</f>
        <v>10000000</v>
      </c>
    </row>
    <row r="57" spans="1:23" ht="20.25" customHeight="1">
      <c r="A57" s="24"/>
      <c r="B57" s="24"/>
      <c r="C57" s="303" t="s">
        <v>50</v>
      </c>
      <c r="D57" s="52" t="s">
        <v>82</v>
      </c>
      <c r="E57" s="304" t="s">
        <v>21</v>
      </c>
      <c r="F57" s="305" t="s">
        <v>22</v>
      </c>
      <c r="G57" s="305" t="s">
        <v>23</v>
      </c>
      <c r="H57" s="305" t="s">
        <v>24</v>
      </c>
      <c r="I57" s="304">
        <v>20</v>
      </c>
      <c r="J57" s="305" t="s">
        <v>25</v>
      </c>
      <c r="K57" s="305" t="s">
        <v>26</v>
      </c>
      <c r="L57" s="304">
        <v>1</v>
      </c>
      <c r="M57" s="305" t="s">
        <v>27</v>
      </c>
      <c r="N57" s="305" t="s">
        <v>26</v>
      </c>
      <c r="O57" s="304">
        <v>10</v>
      </c>
      <c r="P57" s="305" t="s">
        <v>30</v>
      </c>
      <c r="Q57" s="305"/>
      <c r="R57" s="304"/>
      <c r="S57" s="304"/>
      <c r="T57" s="306">
        <v>50000</v>
      </c>
      <c r="U57" s="307">
        <f>I57*T57*L57*O57</f>
        <v>10000000</v>
      </c>
      <c r="V57" s="308"/>
    </row>
    <row r="58" spans="1:23" ht="16.5" customHeight="1">
      <c r="A58" s="53">
        <v>2</v>
      </c>
      <c r="B58" s="54"/>
      <c r="C58" s="374" t="s">
        <v>83</v>
      </c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55">
        <f>SUM(V59:V88)</f>
        <v>49242500.200000003</v>
      </c>
    </row>
    <row r="59" spans="1:23">
      <c r="A59" s="56"/>
      <c r="B59" s="57">
        <v>1</v>
      </c>
      <c r="C59" s="58" t="s">
        <v>84</v>
      </c>
      <c r="D59" s="58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60"/>
      <c r="U59" s="60"/>
      <c r="V59" s="61">
        <f>SUM(U60:U77)</f>
        <v>33202500</v>
      </c>
    </row>
    <row r="60" spans="1:23" ht="48.75">
      <c r="A60" s="56"/>
      <c r="B60" s="56"/>
      <c r="C60" s="58" t="s">
        <v>85</v>
      </c>
      <c r="D60" s="62" t="s">
        <v>86</v>
      </c>
      <c r="E60" s="58"/>
      <c r="F60" s="59"/>
      <c r="G60" s="59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63"/>
      <c r="U60" s="63"/>
      <c r="V60" s="58"/>
    </row>
    <row r="61" spans="1:23" ht="42.75" customHeight="1">
      <c r="A61" s="56"/>
      <c r="B61" s="56"/>
      <c r="C61" s="58"/>
      <c r="D61" s="64" t="s">
        <v>87</v>
      </c>
      <c r="E61" s="65" t="s">
        <v>21</v>
      </c>
      <c r="F61" s="59" t="s">
        <v>88</v>
      </c>
      <c r="G61" s="59" t="s">
        <v>89</v>
      </c>
      <c r="H61" s="59" t="s">
        <v>90</v>
      </c>
      <c r="I61" s="66">
        <v>1</v>
      </c>
      <c r="J61" s="67" t="s">
        <v>25</v>
      </c>
      <c r="K61" s="67" t="s">
        <v>26</v>
      </c>
      <c r="L61" s="66">
        <v>5</v>
      </c>
      <c r="M61" s="67" t="s">
        <v>27</v>
      </c>
      <c r="N61" s="67" t="s">
        <v>26</v>
      </c>
      <c r="O61" s="66">
        <v>12</v>
      </c>
      <c r="P61" s="67" t="s">
        <v>30</v>
      </c>
      <c r="Q61" s="67"/>
      <c r="R61" s="66"/>
      <c r="S61" s="66"/>
      <c r="T61" s="63">
        <v>50000</v>
      </c>
      <c r="U61" s="63">
        <f>I61*L61*O61*T61</f>
        <v>3000000</v>
      </c>
      <c r="V61" s="58"/>
    </row>
    <row r="62" spans="1:23" ht="39">
      <c r="A62" s="56"/>
      <c r="B62" s="56"/>
      <c r="C62" s="58" t="s">
        <v>61</v>
      </c>
      <c r="D62" s="62" t="s">
        <v>91</v>
      </c>
      <c r="E62" s="65"/>
      <c r="F62" s="59"/>
      <c r="G62" s="59"/>
      <c r="H62" s="59"/>
      <c r="I62" s="66"/>
      <c r="J62" s="67"/>
      <c r="K62" s="67"/>
      <c r="L62" s="66"/>
      <c r="M62" s="67"/>
      <c r="N62" s="67"/>
      <c r="O62" s="66"/>
      <c r="P62" s="67"/>
      <c r="Q62" s="67"/>
      <c r="R62" s="66"/>
      <c r="S62" s="66"/>
      <c r="T62" s="63"/>
      <c r="U62" s="63"/>
      <c r="V62" s="58"/>
    </row>
    <row r="63" spans="1:23" ht="29.25">
      <c r="A63" s="274"/>
      <c r="B63" s="274"/>
      <c r="C63" s="275"/>
      <c r="D63" s="276" t="s">
        <v>239</v>
      </c>
      <c r="E63" s="277" t="s">
        <v>33</v>
      </c>
      <c r="F63" s="278" t="s">
        <v>37</v>
      </c>
      <c r="G63" s="277" t="s">
        <v>35</v>
      </c>
      <c r="H63" s="275" t="s">
        <v>90</v>
      </c>
      <c r="I63" s="279">
        <v>30</v>
      </c>
      <c r="J63" s="279" t="s">
        <v>25</v>
      </c>
      <c r="K63" s="279" t="s">
        <v>26</v>
      </c>
      <c r="L63" s="279">
        <v>11</v>
      </c>
      <c r="M63" s="279" t="s">
        <v>218</v>
      </c>
      <c r="N63" s="279"/>
      <c r="O63" s="279"/>
      <c r="P63" s="279"/>
      <c r="Q63" s="279"/>
      <c r="R63" s="279"/>
      <c r="S63" s="279"/>
      <c r="T63" s="280">
        <v>27500</v>
      </c>
      <c r="U63" s="281">
        <f t="shared" ref="U63:U66" si="2">I63*L63*T63</f>
        <v>9075000</v>
      </c>
      <c r="V63" s="275"/>
    </row>
    <row r="64" spans="1:23" ht="29.25">
      <c r="A64" s="274"/>
      <c r="B64" s="274"/>
      <c r="C64" s="275"/>
      <c r="D64" s="276"/>
      <c r="E64" s="277" t="s">
        <v>33</v>
      </c>
      <c r="F64" s="278" t="s">
        <v>37</v>
      </c>
      <c r="G64" s="282" t="s">
        <v>38</v>
      </c>
      <c r="H64" s="275" t="s">
        <v>90</v>
      </c>
      <c r="I64" s="279">
        <v>30</v>
      </c>
      <c r="J64" s="279" t="s">
        <v>25</v>
      </c>
      <c r="K64" s="279" t="s">
        <v>26</v>
      </c>
      <c r="L64" s="279">
        <v>11</v>
      </c>
      <c r="M64" s="279" t="s">
        <v>218</v>
      </c>
      <c r="N64" s="279"/>
      <c r="O64" s="279"/>
      <c r="P64" s="279"/>
      <c r="Q64" s="279"/>
      <c r="R64" s="279"/>
      <c r="S64" s="279"/>
      <c r="T64" s="280">
        <v>17500</v>
      </c>
      <c r="U64" s="281">
        <f t="shared" si="2"/>
        <v>5775000</v>
      </c>
      <c r="V64" s="275"/>
    </row>
    <row r="65" spans="1:22" ht="29.25">
      <c r="A65" s="274"/>
      <c r="B65" s="274"/>
      <c r="C65" s="275"/>
      <c r="D65" s="276"/>
      <c r="E65" s="277" t="s">
        <v>40</v>
      </c>
      <c r="F65" s="283" t="s">
        <v>93</v>
      </c>
      <c r="G65" s="279" t="s">
        <v>94</v>
      </c>
      <c r="H65" s="279" t="s">
        <v>43</v>
      </c>
      <c r="I65" s="279">
        <v>4</v>
      </c>
      <c r="J65" s="279" t="s">
        <v>43</v>
      </c>
      <c r="K65" s="279" t="s">
        <v>26</v>
      </c>
      <c r="L65" s="279">
        <v>11</v>
      </c>
      <c r="M65" s="279" t="s">
        <v>218</v>
      </c>
      <c r="N65" s="279"/>
      <c r="O65" s="279"/>
      <c r="P65" s="279"/>
      <c r="Q65" s="279"/>
      <c r="R65" s="279"/>
      <c r="S65" s="279"/>
      <c r="T65" s="280">
        <v>22500</v>
      </c>
      <c r="U65" s="281">
        <f t="shared" si="2"/>
        <v>990000</v>
      </c>
      <c r="V65" s="275"/>
    </row>
    <row r="66" spans="1:22" ht="19.5">
      <c r="A66" s="274"/>
      <c r="B66" s="274"/>
      <c r="C66" s="275"/>
      <c r="D66" s="276"/>
      <c r="E66" s="277" t="s">
        <v>72</v>
      </c>
      <c r="F66" s="278" t="s">
        <v>95</v>
      </c>
      <c r="G66" s="278" t="s">
        <v>232</v>
      </c>
      <c r="H66" s="278" t="s">
        <v>90</v>
      </c>
      <c r="I66" s="279">
        <v>3</v>
      </c>
      <c r="J66" s="279" t="s">
        <v>25</v>
      </c>
      <c r="K66" s="279" t="s">
        <v>26</v>
      </c>
      <c r="L66" s="279">
        <v>11</v>
      </c>
      <c r="M66" s="279" t="s">
        <v>218</v>
      </c>
      <c r="N66" s="279"/>
      <c r="O66" s="279"/>
      <c r="P66" s="279"/>
      <c r="Q66" s="279"/>
      <c r="R66" s="279"/>
      <c r="S66" s="279"/>
      <c r="T66" s="280">
        <v>50000</v>
      </c>
      <c r="U66" s="281">
        <f t="shared" si="2"/>
        <v>1650000</v>
      </c>
      <c r="V66" s="275"/>
    </row>
    <row r="67" spans="1:22">
      <c r="A67" s="56"/>
      <c r="B67" s="56"/>
      <c r="C67" s="77"/>
      <c r="D67" s="62"/>
      <c r="E67" s="65"/>
      <c r="F67" s="59"/>
      <c r="G67" s="59"/>
      <c r="H67" s="59"/>
      <c r="I67" s="66"/>
      <c r="J67" s="67"/>
      <c r="K67" s="67"/>
      <c r="L67" s="66"/>
      <c r="M67" s="67"/>
      <c r="N67" s="67"/>
      <c r="O67" s="66"/>
      <c r="P67" s="67"/>
      <c r="Q67" s="67"/>
      <c r="R67" s="66"/>
      <c r="S67" s="66"/>
      <c r="T67" s="63"/>
      <c r="U67" s="63"/>
      <c r="V67" s="77"/>
    </row>
    <row r="68" spans="1:22" ht="27">
      <c r="A68" s="56"/>
      <c r="B68" s="56"/>
      <c r="C68" s="58"/>
      <c r="D68" s="68" t="s">
        <v>92</v>
      </c>
      <c r="E68" s="69" t="s">
        <v>33</v>
      </c>
      <c r="F68" s="70" t="s">
        <v>37</v>
      </c>
      <c r="G68" s="69" t="s">
        <v>35</v>
      </c>
      <c r="H68" s="58" t="s">
        <v>90</v>
      </c>
      <c r="I68" s="71">
        <v>36</v>
      </c>
      <c r="J68" s="71" t="s">
        <v>25</v>
      </c>
      <c r="K68" s="71" t="s">
        <v>26</v>
      </c>
      <c r="L68" s="71">
        <v>1</v>
      </c>
      <c r="M68" s="71" t="s">
        <v>27</v>
      </c>
      <c r="N68" s="71"/>
      <c r="O68" s="71"/>
      <c r="P68" s="71"/>
      <c r="Q68" s="71"/>
      <c r="R68" s="71"/>
      <c r="S68" s="71"/>
      <c r="T68" s="72">
        <v>27500</v>
      </c>
      <c r="U68" s="73">
        <f t="shared" ref="U68:U74" si="3">I68*L68*T68</f>
        <v>990000</v>
      </c>
      <c r="V68" s="70"/>
    </row>
    <row r="69" spans="1:22" ht="29.25">
      <c r="A69" s="56"/>
      <c r="B69" s="56"/>
      <c r="C69" s="58"/>
      <c r="D69" s="62"/>
      <c r="E69" s="69" t="s">
        <v>33</v>
      </c>
      <c r="F69" s="70" t="s">
        <v>37</v>
      </c>
      <c r="G69" s="74" t="s">
        <v>38</v>
      </c>
      <c r="H69" s="58" t="s">
        <v>90</v>
      </c>
      <c r="I69" s="71">
        <v>36</v>
      </c>
      <c r="J69" s="71" t="s">
        <v>25</v>
      </c>
      <c r="K69" s="71" t="s">
        <v>26</v>
      </c>
      <c r="L69" s="71">
        <v>1</v>
      </c>
      <c r="M69" s="71" t="s">
        <v>27</v>
      </c>
      <c r="N69" s="71"/>
      <c r="O69" s="71"/>
      <c r="P69" s="71"/>
      <c r="Q69" s="71"/>
      <c r="R69" s="71"/>
      <c r="S69" s="71"/>
      <c r="T69" s="72">
        <v>17500</v>
      </c>
      <c r="U69" s="73">
        <f t="shared" si="3"/>
        <v>630000</v>
      </c>
      <c r="V69" s="70"/>
    </row>
    <row r="70" spans="1:22" ht="29.25">
      <c r="A70" s="56"/>
      <c r="B70" s="56"/>
      <c r="C70" s="58"/>
      <c r="D70" s="62"/>
      <c r="E70" s="69" t="s">
        <v>40</v>
      </c>
      <c r="F70" s="75" t="s">
        <v>93</v>
      </c>
      <c r="G70" s="71" t="s">
        <v>94</v>
      </c>
      <c r="H70" s="71" t="s">
        <v>43</v>
      </c>
      <c r="I70" s="71">
        <v>4</v>
      </c>
      <c r="J70" s="71" t="s">
        <v>43</v>
      </c>
      <c r="K70" s="71" t="s">
        <v>26</v>
      </c>
      <c r="L70" s="71">
        <v>1</v>
      </c>
      <c r="M70" s="71" t="s">
        <v>27</v>
      </c>
      <c r="N70" s="71"/>
      <c r="O70" s="71"/>
      <c r="P70" s="71"/>
      <c r="Q70" s="71"/>
      <c r="R70" s="71"/>
      <c r="S70" s="71"/>
      <c r="T70" s="72">
        <v>22500</v>
      </c>
      <c r="U70" s="73">
        <f t="shared" si="3"/>
        <v>90000</v>
      </c>
      <c r="V70" s="70"/>
    </row>
    <row r="71" spans="1:22" ht="19.5">
      <c r="A71" s="56"/>
      <c r="B71" s="56"/>
      <c r="C71" s="58"/>
      <c r="D71" s="62"/>
      <c r="E71" s="65" t="s">
        <v>72</v>
      </c>
      <c r="F71" s="67" t="s">
        <v>95</v>
      </c>
      <c r="G71" s="67" t="s">
        <v>96</v>
      </c>
      <c r="H71" s="67" t="s">
        <v>90</v>
      </c>
      <c r="I71" s="71">
        <v>22</v>
      </c>
      <c r="J71" s="71" t="s">
        <v>25</v>
      </c>
      <c r="K71" s="71" t="s">
        <v>26</v>
      </c>
      <c r="L71" s="71">
        <v>1</v>
      </c>
      <c r="M71" s="71" t="s">
        <v>27</v>
      </c>
      <c r="N71" s="71"/>
      <c r="O71" s="71"/>
      <c r="P71" s="71"/>
      <c r="Q71" s="71"/>
      <c r="R71" s="71"/>
      <c r="S71" s="71"/>
      <c r="T71" s="72">
        <v>50000</v>
      </c>
      <c r="U71" s="73">
        <f t="shared" si="3"/>
        <v>1100000</v>
      </c>
      <c r="V71" s="70"/>
    </row>
    <row r="72" spans="1:22" ht="29.25">
      <c r="A72" s="56"/>
      <c r="B72" s="56"/>
      <c r="C72" s="58"/>
      <c r="D72" s="76" t="s">
        <v>97</v>
      </c>
      <c r="E72" s="69" t="s">
        <v>33</v>
      </c>
      <c r="F72" s="70" t="s">
        <v>37</v>
      </c>
      <c r="G72" s="74" t="s">
        <v>38</v>
      </c>
      <c r="H72" s="70" t="s">
        <v>24</v>
      </c>
      <c r="I72" s="71">
        <v>25</v>
      </c>
      <c r="J72" s="71" t="s">
        <v>25</v>
      </c>
      <c r="K72" s="71" t="s">
        <v>26</v>
      </c>
      <c r="L72" s="71">
        <v>11</v>
      </c>
      <c r="M72" s="71" t="s">
        <v>98</v>
      </c>
      <c r="N72" s="71"/>
      <c r="O72" s="71"/>
      <c r="P72" s="71"/>
      <c r="Q72" s="71"/>
      <c r="R72" s="71"/>
      <c r="S72" s="71"/>
      <c r="T72" s="72">
        <v>17500</v>
      </c>
      <c r="U72" s="73">
        <f t="shared" si="3"/>
        <v>4812500</v>
      </c>
      <c r="V72" s="70"/>
    </row>
    <row r="73" spans="1:22" ht="29.25">
      <c r="A73" s="56"/>
      <c r="B73" s="56"/>
      <c r="C73" s="58"/>
      <c r="D73" s="62"/>
      <c r="E73" s="69" t="s">
        <v>40</v>
      </c>
      <c r="F73" s="75" t="s">
        <v>93</v>
      </c>
      <c r="G73" s="71" t="s">
        <v>94</v>
      </c>
      <c r="H73" s="71" t="s">
        <v>42</v>
      </c>
      <c r="I73" s="71">
        <v>4</v>
      </c>
      <c r="J73" s="71" t="s">
        <v>43</v>
      </c>
      <c r="K73" s="71" t="s">
        <v>26</v>
      </c>
      <c r="L73" s="71">
        <v>11</v>
      </c>
      <c r="M73" s="71" t="s">
        <v>98</v>
      </c>
      <c r="N73" s="71"/>
      <c r="O73" s="71"/>
      <c r="P73" s="71"/>
      <c r="Q73" s="71"/>
      <c r="R73" s="71"/>
      <c r="S73" s="71"/>
      <c r="T73" s="72">
        <v>22500</v>
      </c>
      <c r="U73" s="73">
        <f t="shared" si="3"/>
        <v>990000</v>
      </c>
      <c r="V73" s="70"/>
    </row>
    <row r="74" spans="1:22" ht="19.5">
      <c r="A74" s="56"/>
      <c r="B74" s="56"/>
      <c r="C74" s="58"/>
      <c r="D74" s="62"/>
      <c r="E74" s="65" t="s">
        <v>21</v>
      </c>
      <c r="F74" s="67" t="s">
        <v>22</v>
      </c>
      <c r="G74" s="67" t="s">
        <v>89</v>
      </c>
      <c r="H74" s="67" t="s">
        <v>24</v>
      </c>
      <c r="I74" s="66">
        <v>5</v>
      </c>
      <c r="J74" s="67" t="s">
        <v>25</v>
      </c>
      <c r="K74" s="67" t="s">
        <v>26</v>
      </c>
      <c r="L74" s="66">
        <v>11</v>
      </c>
      <c r="M74" s="67" t="s">
        <v>98</v>
      </c>
      <c r="N74" s="67" t="s">
        <v>26</v>
      </c>
      <c r="O74" s="66"/>
      <c r="P74" s="67"/>
      <c r="Q74" s="67"/>
      <c r="R74" s="66"/>
      <c r="S74" s="66"/>
      <c r="T74" s="72">
        <v>50000</v>
      </c>
      <c r="U74" s="73">
        <f t="shared" si="3"/>
        <v>2750000</v>
      </c>
      <c r="V74" s="70"/>
    </row>
    <row r="75" spans="1:22" ht="29.25">
      <c r="A75" s="56"/>
      <c r="B75" s="56"/>
      <c r="C75" s="58"/>
      <c r="D75" s="64" t="s">
        <v>99</v>
      </c>
      <c r="E75" s="65" t="s">
        <v>21</v>
      </c>
      <c r="F75" s="67" t="s">
        <v>22</v>
      </c>
      <c r="G75" s="67" t="s">
        <v>89</v>
      </c>
      <c r="H75" s="58" t="s">
        <v>90</v>
      </c>
      <c r="I75" s="66">
        <v>1</v>
      </c>
      <c r="J75" s="67" t="s">
        <v>25</v>
      </c>
      <c r="K75" s="67" t="s">
        <v>26</v>
      </c>
      <c r="L75" s="66">
        <v>5</v>
      </c>
      <c r="M75" s="67" t="s">
        <v>100</v>
      </c>
      <c r="N75" s="67" t="s">
        <v>26</v>
      </c>
      <c r="O75" s="66"/>
      <c r="P75" s="67"/>
      <c r="Q75" s="67"/>
      <c r="R75" s="66"/>
      <c r="S75" s="66"/>
      <c r="T75" s="72">
        <v>50000</v>
      </c>
      <c r="U75" s="73">
        <f>I75*L75*T75</f>
        <v>250000</v>
      </c>
      <c r="V75" s="63"/>
    </row>
    <row r="76" spans="1:22" ht="29.25">
      <c r="A76" s="56"/>
      <c r="B76" s="56"/>
      <c r="C76" s="58" t="s">
        <v>101</v>
      </c>
      <c r="D76" s="62" t="s">
        <v>102</v>
      </c>
      <c r="E76" s="65"/>
      <c r="F76" s="67"/>
      <c r="G76" s="67"/>
      <c r="H76" s="58"/>
      <c r="I76" s="66"/>
      <c r="J76" s="67"/>
      <c r="K76" s="67"/>
      <c r="L76" s="66"/>
      <c r="M76" s="67"/>
      <c r="N76" s="67"/>
      <c r="O76" s="66"/>
      <c r="P76" s="67"/>
      <c r="Q76" s="67"/>
      <c r="R76" s="66"/>
      <c r="S76" s="66"/>
      <c r="T76" s="72"/>
      <c r="U76" s="73"/>
      <c r="V76" s="63"/>
    </row>
    <row r="77" spans="1:22" ht="19.5">
      <c r="A77" s="56"/>
      <c r="B77" s="56"/>
      <c r="C77" s="58"/>
      <c r="D77" s="64" t="s">
        <v>103</v>
      </c>
      <c r="E77" s="65" t="s">
        <v>21</v>
      </c>
      <c r="F77" s="67" t="s">
        <v>22</v>
      </c>
      <c r="G77" s="67" t="s">
        <v>89</v>
      </c>
      <c r="H77" s="67" t="s">
        <v>24</v>
      </c>
      <c r="I77" s="66">
        <v>1</v>
      </c>
      <c r="J77" s="67" t="s">
        <v>25</v>
      </c>
      <c r="K77" s="67" t="s">
        <v>26</v>
      </c>
      <c r="L77" s="66">
        <v>11</v>
      </c>
      <c r="M77" s="67" t="s">
        <v>98</v>
      </c>
      <c r="N77" s="67" t="s">
        <v>26</v>
      </c>
      <c r="O77" s="66">
        <v>2</v>
      </c>
      <c r="P77" s="67" t="s">
        <v>30</v>
      </c>
      <c r="Q77" s="67"/>
      <c r="R77" s="66"/>
      <c r="S77" s="66"/>
      <c r="T77" s="72">
        <v>50000</v>
      </c>
      <c r="U77" s="73">
        <f>I77*L77*T77*O77</f>
        <v>1100000</v>
      </c>
      <c r="V77" s="60"/>
    </row>
    <row r="78" spans="1:22">
      <c r="A78" s="56"/>
      <c r="B78" s="56">
        <v>4</v>
      </c>
      <c r="C78" s="363" t="s">
        <v>104</v>
      </c>
      <c r="D78" s="363"/>
      <c r="E78" s="58"/>
      <c r="F78" s="59"/>
      <c r="G78" s="59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63"/>
      <c r="U78" s="63"/>
      <c r="V78" s="78">
        <f>SUM(U79:U80)</f>
        <v>1680000</v>
      </c>
    </row>
    <row r="79" spans="1:22" ht="19.5">
      <c r="A79" s="56"/>
      <c r="B79" s="56"/>
      <c r="C79" s="58" t="s">
        <v>28</v>
      </c>
      <c r="D79" s="62" t="s">
        <v>105</v>
      </c>
      <c r="E79" s="58"/>
      <c r="F79" s="59"/>
      <c r="G79" s="59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63"/>
      <c r="U79" s="63"/>
      <c r="V79" s="58"/>
    </row>
    <row r="80" spans="1:22" ht="29.25">
      <c r="A80" s="56"/>
      <c r="B80" s="56"/>
      <c r="C80" s="58"/>
      <c r="D80" s="64" t="s">
        <v>106</v>
      </c>
      <c r="E80" s="69" t="s">
        <v>33</v>
      </c>
      <c r="F80" s="70" t="s">
        <v>37</v>
      </c>
      <c r="G80" s="74" t="s">
        <v>38</v>
      </c>
      <c r="H80" s="71" t="s">
        <v>24</v>
      </c>
      <c r="I80" s="71">
        <v>8</v>
      </c>
      <c r="J80" s="71" t="s">
        <v>25</v>
      </c>
      <c r="K80" s="71" t="s">
        <v>26</v>
      </c>
      <c r="L80" s="71">
        <v>1</v>
      </c>
      <c r="M80" s="71" t="s">
        <v>27</v>
      </c>
      <c r="N80" s="71"/>
      <c r="O80" s="71">
        <v>12</v>
      </c>
      <c r="P80" s="71" t="s">
        <v>30</v>
      </c>
      <c r="Q80" s="71"/>
      <c r="R80" s="71"/>
      <c r="S80" s="71"/>
      <c r="T80" s="72">
        <v>17500</v>
      </c>
      <c r="U80" s="73">
        <f>I80*L80*T80*O80</f>
        <v>1680000</v>
      </c>
      <c r="V80" s="70"/>
    </row>
    <row r="81" spans="1:22" ht="27" customHeight="1">
      <c r="A81" s="56"/>
      <c r="B81" s="79">
        <v>5</v>
      </c>
      <c r="C81" s="364" t="s">
        <v>107</v>
      </c>
      <c r="D81" s="365"/>
      <c r="E81" s="80"/>
      <c r="F81" s="81"/>
      <c r="G81" s="81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2"/>
      <c r="U81" s="82"/>
      <c r="V81" s="83">
        <f>SUM(U82:U88)</f>
        <v>14360000.199999999</v>
      </c>
    </row>
    <row r="82" spans="1:22" ht="29.25">
      <c r="A82" s="56"/>
      <c r="B82" s="84"/>
      <c r="C82" s="85" t="s">
        <v>19</v>
      </c>
      <c r="D82" s="86" t="s">
        <v>108</v>
      </c>
      <c r="E82" s="87" t="s">
        <v>21</v>
      </c>
      <c r="F82" s="88" t="s">
        <v>22</v>
      </c>
      <c r="G82" s="88" t="s">
        <v>23</v>
      </c>
      <c r="H82" s="88" t="s">
        <v>24</v>
      </c>
      <c r="I82" s="87">
        <v>1</v>
      </c>
      <c r="J82" s="88" t="s">
        <v>25</v>
      </c>
      <c r="K82" s="88" t="s">
        <v>26</v>
      </c>
      <c r="L82" s="87">
        <v>5</v>
      </c>
      <c r="M82" s="88" t="s">
        <v>26</v>
      </c>
      <c r="N82" s="88" t="s">
        <v>26</v>
      </c>
      <c r="O82" s="87">
        <v>12</v>
      </c>
      <c r="P82" s="88" t="s">
        <v>30</v>
      </c>
      <c r="Q82" s="88"/>
      <c r="R82" s="87"/>
      <c r="S82" s="87"/>
      <c r="T82" s="89">
        <v>50000</v>
      </c>
      <c r="U82" s="90">
        <f>I82*L82*T82*O82</f>
        <v>3000000</v>
      </c>
      <c r="V82" s="91"/>
    </row>
    <row r="83" spans="1:22" ht="19.5">
      <c r="A83" s="56"/>
      <c r="B83" s="84"/>
      <c r="C83" s="85" t="s">
        <v>28</v>
      </c>
      <c r="D83" s="92" t="s">
        <v>109</v>
      </c>
      <c r="E83" s="87" t="s">
        <v>21</v>
      </c>
      <c r="F83" s="88" t="s">
        <v>22</v>
      </c>
      <c r="G83" s="88" t="s">
        <v>23</v>
      </c>
      <c r="H83" s="88" t="s">
        <v>24</v>
      </c>
      <c r="I83" s="87">
        <v>1</v>
      </c>
      <c r="J83" s="88" t="s">
        <v>25</v>
      </c>
      <c r="K83" s="88" t="s">
        <v>26</v>
      </c>
      <c r="L83" s="87">
        <v>6</v>
      </c>
      <c r="M83" s="88" t="s">
        <v>26</v>
      </c>
      <c r="N83" s="88" t="s">
        <v>26</v>
      </c>
      <c r="O83" s="87">
        <v>2</v>
      </c>
      <c r="P83" s="88" t="s">
        <v>30</v>
      </c>
      <c r="Q83" s="88"/>
      <c r="R83" s="87"/>
      <c r="S83" s="87"/>
      <c r="T83" s="89">
        <v>50000</v>
      </c>
      <c r="U83" s="90">
        <f>I83*L83*T83*O83</f>
        <v>600000</v>
      </c>
      <c r="V83" s="93"/>
    </row>
    <row r="84" spans="1:22" ht="29.25">
      <c r="A84" s="56"/>
      <c r="B84" s="84"/>
      <c r="C84" s="85" t="s">
        <v>31</v>
      </c>
      <c r="D84" s="92" t="s">
        <v>110</v>
      </c>
      <c r="E84" s="94" t="s">
        <v>33</v>
      </c>
      <c r="F84" s="91" t="s">
        <v>37</v>
      </c>
      <c r="G84" s="94" t="s">
        <v>35</v>
      </c>
      <c r="H84" s="94" t="s">
        <v>24</v>
      </c>
      <c r="I84" s="94">
        <v>40</v>
      </c>
      <c r="J84" s="94" t="s">
        <v>25</v>
      </c>
      <c r="K84" s="94" t="s">
        <v>26</v>
      </c>
      <c r="L84" s="94">
        <v>3</v>
      </c>
      <c r="M84" s="94" t="s">
        <v>27</v>
      </c>
      <c r="N84" s="94"/>
      <c r="O84" s="94"/>
      <c r="P84" s="94"/>
      <c r="Q84" s="94"/>
      <c r="R84" s="94"/>
      <c r="S84" s="94"/>
      <c r="T84" s="89">
        <v>27500</v>
      </c>
      <c r="U84" s="90">
        <f>I84*L84*T84</f>
        <v>3300000</v>
      </c>
      <c r="V84" s="91"/>
    </row>
    <row r="85" spans="1:22" ht="18">
      <c r="A85" s="56"/>
      <c r="B85" s="84"/>
      <c r="C85" s="85"/>
      <c r="D85" s="92"/>
      <c r="E85" s="94" t="s">
        <v>33</v>
      </c>
      <c r="F85" s="91" t="s">
        <v>37</v>
      </c>
      <c r="G85" s="91" t="s">
        <v>38</v>
      </c>
      <c r="H85" s="94" t="s">
        <v>24</v>
      </c>
      <c r="I85" s="94">
        <v>40</v>
      </c>
      <c r="J85" s="94" t="s">
        <v>25</v>
      </c>
      <c r="K85" s="94" t="s">
        <v>26</v>
      </c>
      <c r="L85" s="94">
        <v>3</v>
      </c>
      <c r="M85" s="94" t="s">
        <v>27</v>
      </c>
      <c r="N85" s="94"/>
      <c r="O85" s="94"/>
      <c r="P85" s="94"/>
      <c r="Q85" s="94"/>
      <c r="R85" s="94"/>
      <c r="S85" s="94"/>
      <c r="T85" s="89">
        <v>17500</v>
      </c>
      <c r="U85" s="90">
        <f>I85*L85*T85</f>
        <v>2100000</v>
      </c>
      <c r="V85" s="91"/>
    </row>
    <row r="86" spans="1:22">
      <c r="A86" s="56"/>
      <c r="B86" s="84"/>
      <c r="C86" s="85"/>
      <c r="D86" s="92"/>
      <c r="E86" s="94" t="s">
        <v>40</v>
      </c>
      <c r="F86" s="94"/>
      <c r="G86" s="94" t="s">
        <v>111</v>
      </c>
      <c r="H86" s="94" t="s">
        <v>42</v>
      </c>
      <c r="I86" s="94">
        <v>3.5555599999999998</v>
      </c>
      <c r="J86" s="94" t="s">
        <v>43</v>
      </c>
      <c r="K86" s="94" t="s">
        <v>26</v>
      </c>
      <c r="L86" s="94">
        <v>2</v>
      </c>
      <c r="M86" s="94" t="s">
        <v>27</v>
      </c>
      <c r="N86" s="94"/>
      <c r="O86" s="94"/>
      <c r="P86" s="94"/>
      <c r="Q86" s="94"/>
      <c r="R86" s="94"/>
      <c r="S86" s="94"/>
      <c r="T86" s="89">
        <v>22500</v>
      </c>
      <c r="U86" s="90">
        <f>I86*L86*T86</f>
        <v>160000.19999999998</v>
      </c>
      <c r="V86" s="91"/>
    </row>
    <row r="87" spans="1:22" ht="18">
      <c r="A87" s="56"/>
      <c r="B87" s="84"/>
      <c r="C87" s="85"/>
      <c r="D87" s="92"/>
      <c r="E87" s="95" t="s">
        <v>72</v>
      </c>
      <c r="F87" s="91" t="s">
        <v>112</v>
      </c>
      <c r="G87" s="88" t="s">
        <v>96</v>
      </c>
      <c r="H87" s="94" t="s">
        <v>24</v>
      </c>
      <c r="I87" s="94">
        <v>33</v>
      </c>
      <c r="J87" s="94" t="s">
        <v>25</v>
      </c>
      <c r="K87" s="94" t="s">
        <v>26</v>
      </c>
      <c r="L87" s="94">
        <v>3</v>
      </c>
      <c r="M87" s="94" t="s">
        <v>27</v>
      </c>
      <c r="N87" s="94"/>
      <c r="O87" s="94"/>
      <c r="P87" s="94"/>
      <c r="Q87" s="94"/>
      <c r="R87" s="94"/>
      <c r="S87" s="94"/>
      <c r="T87" s="89">
        <v>50000</v>
      </c>
      <c r="U87" s="90">
        <f>I87*L87*T87</f>
        <v>4950000</v>
      </c>
      <c r="V87" s="91"/>
    </row>
    <row r="88" spans="1:22" ht="27">
      <c r="A88" s="56"/>
      <c r="B88" s="84"/>
      <c r="C88" s="85"/>
      <c r="D88" s="92"/>
      <c r="E88" s="91" t="s">
        <v>113</v>
      </c>
      <c r="F88" s="91" t="s">
        <v>114</v>
      </c>
      <c r="G88" s="91" t="s">
        <v>115</v>
      </c>
      <c r="H88" s="91" t="s">
        <v>116</v>
      </c>
      <c r="I88" s="94">
        <v>1</v>
      </c>
      <c r="J88" s="94" t="s">
        <v>25</v>
      </c>
      <c r="K88" s="94" t="s">
        <v>26</v>
      </c>
      <c r="L88" s="94">
        <v>1</v>
      </c>
      <c r="M88" s="94" t="s">
        <v>27</v>
      </c>
      <c r="N88" s="94"/>
      <c r="O88" s="94"/>
      <c r="P88" s="94"/>
      <c r="Q88" s="94"/>
      <c r="R88" s="94"/>
      <c r="S88" s="94"/>
      <c r="T88" s="89">
        <v>250000</v>
      </c>
      <c r="U88" s="90">
        <f>I88*L88*T88</f>
        <v>250000</v>
      </c>
      <c r="V88" s="91"/>
    </row>
    <row r="89" spans="1:22">
      <c r="A89" s="96">
        <v>3</v>
      </c>
      <c r="B89" s="97"/>
      <c r="C89" s="366" t="s">
        <v>117</v>
      </c>
      <c r="D89" s="367"/>
      <c r="E89" s="367"/>
      <c r="F89" s="367"/>
      <c r="G89" s="367"/>
      <c r="H89" s="367"/>
      <c r="I89" s="367"/>
      <c r="J89" s="367"/>
      <c r="K89" s="367"/>
      <c r="L89" s="367"/>
      <c r="M89" s="367"/>
      <c r="N89" s="367"/>
      <c r="O89" s="367"/>
      <c r="P89" s="367"/>
      <c r="Q89" s="367"/>
      <c r="R89" s="367"/>
      <c r="S89" s="367"/>
      <c r="T89" s="367"/>
      <c r="U89" s="368"/>
      <c r="V89" s="98">
        <f>SUM(V90:V145)</f>
        <v>110969999.51000001</v>
      </c>
    </row>
    <row r="90" spans="1:22" ht="19.5" customHeight="1">
      <c r="A90" s="99"/>
      <c r="B90" s="100" t="s">
        <v>118</v>
      </c>
      <c r="C90" s="369" t="s">
        <v>119</v>
      </c>
      <c r="D90" s="370"/>
      <c r="E90" s="101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3"/>
      <c r="U90" s="103"/>
      <c r="V90" s="103">
        <f>SUM(U91:U126)</f>
        <v>75150000</v>
      </c>
    </row>
    <row r="91" spans="1:22" ht="28.5" customHeight="1">
      <c r="A91" s="14"/>
      <c r="B91" s="104"/>
      <c r="C91" s="14" t="s">
        <v>50</v>
      </c>
      <c r="D91" s="49" t="s">
        <v>120</v>
      </c>
      <c r="E91" s="14" t="s">
        <v>33</v>
      </c>
      <c r="F91" s="23" t="s">
        <v>37</v>
      </c>
      <c r="G91" s="14" t="s">
        <v>35</v>
      </c>
      <c r="H91" s="14" t="s">
        <v>24</v>
      </c>
      <c r="I91" s="14">
        <v>40</v>
      </c>
      <c r="J91" s="14" t="s">
        <v>25</v>
      </c>
      <c r="K91" s="14" t="s">
        <v>26</v>
      </c>
      <c r="L91" s="14">
        <v>1</v>
      </c>
      <c r="M91" s="14" t="s">
        <v>27</v>
      </c>
      <c r="N91" s="14"/>
      <c r="O91" s="14"/>
      <c r="P91" s="14"/>
      <c r="Q91" s="14"/>
      <c r="R91" s="14"/>
      <c r="S91" s="14"/>
      <c r="T91" s="105">
        <v>27500</v>
      </c>
      <c r="U91" s="106">
        <f t="shared" ref="U91:U102" si="4">I91*L91*T91</f>
        <v>1100000</v>
      </c>
      <c r="V91" s="107"/>
    </row>
    <row r="92" spans="1:22" ht="21" customHeight="1">
      <c r="A92" s="14"/>
      <c r="B92" s="104"/>
      <c r="C92" s="14"/>
      <c r="D92" s="14"/>
      <c r="E92" s="14" t="s">
        <v>33</v>
      </c>
      <c r="F92" s="23" t="s">
        <v>37</v>
      </c>
      <c r="G92" s="23" t="s">
        <v>38</v>
      </c>
      <c r="H92" s="14" t="s">
        <v>24</v>
      </c>
      <c r="I92" s="14">
        <v>40</v>
      </c>
      <c r="J92" s="14" t="s">
        <v>25</v>
      </c>
      <c r="K92" s="14" t="s">
        <v>26</v>
      </c>
      <c r="L92" s="14">
        <v>1</v>
      </c>
      <c r="M92" s="14" t="s">
        <v>27</v>
      </c>
      <c r="N92" s="14"/>
      <c r="O92" s="14"/>
      <c r="P92" s="14"/>
      <c r="Q92" s="14"/>
      <c r="R92" s="14"/>
      <c r="S92" s="14"/>
      <c r="T92" s="105">
        <v>17500</v>
      </c>
      <c r="U92" s="106">
        <f t="shared" si="4"/>
        <v>700000</v>
      </c>
      <c r="V92" s="107"/>
    </row>
    <row r="93" spans="1:22">
      <c r="A93" s="14"/>
      <c r="B93" s="104"/>
      <c r="C93" s="14"/>
      <c r="D93" s="14"/>
      <c r="E93" s="14" t="s">
        <v>40</v>
      </c>
      <c r="F93" s="14"/>
      <c r="G93" s="14" t="s">
        <v>71</v>
      </c>
      <c r="H93" s="14" t="s">
        <v>42</v>
      </c>
      <c r="I93" s="14">
        <v>4</v>
      </c>
      <c r="J93" s="14" t="s">
        <v>43</v>
      </c>
      <c r="K93" s="14" t="s">
        <v>26</v>
      </c>
      <c r="L93" s="14">
        <v>1</v>
      </c>
      <c r="M93" s="14" t="s">
        <v>27</v>
      </c>
      <c r="N93" s="14"/>
      <c r="O93" s="14"/>
      <c r="P93" s="14"/>
      <c r="Q93" s="14"/>
      <c r="R93" s="14"/>
      <c r="S93" s="14"/>
      <c r="T93" s="105">
        <v>22500</v>
      </c>
      <c r="U93" s="106">
        <f t="shared" si="4"/>
        <v>90000</v>
      </c>
      <c r="V93" s="107"/>
    </row>
    <row r="94" spans="1:22" ht="30" customHeight="1">
      <c r="A94" s="14"/>
      <c r="B94" s="104"/>
      <c r="C94" s="14" t="s">
        <v>67</v>
      </c>
      <c r="D94" s="49" t="s">
        <v>121</v>
      </c>
      <c r="E94" s="14" t="s">
        <v>33</v>
      </c>
      <c r="F94" s="23" t="s">
        <v>37</v>
      </c>
      <c r="G94" s="14" t="s">
        <v>35</v>
      </c>
      <c r="H94" s="14" t="s">
        <v>24</v>
      </c>
      <c r="I94" s="14">
        <v>40</v>
      </c>
      <c r="J94" s="14" t="s">
        <v>25</v>
      </c>
      <c r="K94" s="14" t="s">
        <v>26</v>
      </c>
      <c r="L94" s="14">
        <v>1</v>
      </c>
      <c r="M94" s="14" t="s">
        <v>27</v>
      </c>
      <c r="N94" s="14"/>
      <c r="O94" s="14"/>
      <c r="P94" s="14"/>
      <c r="Q94" s="14"/>
      <c r="R94" s="14"/>
      <c r="S94" s="14"/>
      <c r="T94" s="105">
        <v>27500</v>
      </c>
      <c r="U94" s="106">
        <f t="shared" si="4"/>
        <v>1100000</v>
      </c>
      <c r="V94" s="107"/>
    </row>
    <row r="95" spans="1:22" ht="18">
      <c r="A95" s="14"/>
      <c r="B95" s="104"/>
      <c r="C95" s="14"/>
      <c r="D95" s="14"/>
      <c r="E95" s="14" t="s">
        <v>33</v>
      </c>
      <c r="F95" s="23" t="s">
        <v>37</v>
      </c>
      <c r="G95" s="23" t="s">
        <v>38</v>
      </c>
      <c r="H95" s="14" t="s">
        <v>24</v>
      </c>
      <c r="I95" s="14">
        <v>40</v>
      </c>
      <c r="J95" s="14" t="s">
        <v>25</v>
      </c>
      <c r="K95" s="14" t="s">
        <v>26</v>
      </c>
      <c r="L95" s="14">
        <v>1</v>
      </c>
      <c r="M95" s="14" t="s">
        <v>27</v>
      </c>
      <c r="N95" s="14"/>
      <c r="O95" s="14"/>
      <c r="P95" s="14"/>
      <c r="Q95" s="14"/>
      <c r="R95" s="14"/>
      <c r="S95" s="14"/>
      <c r="T95" s="105">
        <v>17500</v>
      </c>
      <c r="U95" s="106">
        <f t="shared" si="4"/>
        <v>700000</v>
      </c>
      <c r="V95" s="107"/>
    </row>
    <row r="96" spans="1:22">
      <c r="A96" s="14"/>
      <c r="B96" s="104"/>
      <c r="C96" s="14"/>
      <c r="D96" s="14"/>
      <c r="E96" s="14" t="s">
        <v>40</v>
      </c>
      <c r="F96" s="14"/>
      <c r="G96" s="14" t="s">
        <v>71</v>
      </c>
      <c r="H96" s="14" t="s">
        <v>42</v>
      </c>
      <c r="I96" s="14">
        <v>4</v>
      </c>
      <c r="J96" s="14" t="s">
        <v>43</v>
      </c>
      <c r="K96" s="14" t="s">
        <v>26</v>
      </c>
      <c r="L96" s="14">
        <v>1</v>
      </c>
      <c r="M96" s="14" t="s">
        <v>27</v>
      </c>
      <c r="N96" s="14"/>
      <c r="O96" s="14"/>
      <c r="P96" s="14"/>
      <c r="Q96" s="14"/>
      <c r="R96" s="14"/>
      <c r="S96" s="14"/>
      <c r="T96" s="105">
        <v>22500</v>
      </c>
      <c r="U96" s="106">
        <f t="shared" si="4"/>
        <v>90000</v>
      </c>
      <c r="V96" s="107"/>
    </row>
    <row r="97" spans="1:22" ht="27">
      <c r="A97" s="14"/>
      <c r="B97" s="104"/>
      <c r="C97" s="14" t="s">
        <v>52</v>
      </c>
      <c r="D97" s="108" t="s">
        <v>122</v>
      </c>
      <c r="E97" s="14" t="s">
        <v>33</v>
      </c>
      <c r="F97" s="23" t="s">
        <v>37</v>
      </c>
      <c r="G97" s="14" t="s">
        <v>35</v>
      </c>
      <c r="H97" s="14" t="s">
        <v>24</v>
      </c>
      <c r="I97" s="14">
        <v>40</v>
      </c>
      <c r="J97" s="14" t="s">
        <v>25</v>
      </c>
      <c r="K97" s="14" t="s">
        <v>26</v>
      </c>
      <c r="L97" s="14">
        <v>1</v>
      </c>
      <c r="M97" s="14" t="s">
        <v>27</v>
      </c>
      <c r="N97" s="14"/>
      <c r="O97" s="14"/>
      <c r="P97" s="14"/>
      <c r="Q97" s="14"/>
      <c r="R97" s="14"/>
      <c r="S97" s="14"/>
      <c r="T97" s="105">
        <v>27500</v>
      </c>
      <c r="U97" s="106">
        <f t="shared" si="4"/>
        <v>1100000</v>
      </c>
      <c r="V97" s="107"/>
    </row>
    <row r="98" spans="1:22" ht="18">
      <c r="A98" s="14"/>
      <c r="B98" s="104"/>
      <c r="C98" s="14"/>
      <c r="D98" s="14"/>
      <c r="E98" s="14" t="s">
        <v>33</v>
      </c>
      <c r="F98" s="23" t="s">
        <v>37</v>
      </c>
      <c r="G98" s="23" t="s">
        <v>38</v>
      </c>
      <c r="H98" s="14" t="s">
        <v>24</v>
      </c>
      <c r="I98" s="14">
        <v>40</v>
      </c>
      <c r="J98" s="14" t="s">
        <v>25</v>
      </c>
      <c r="K98" s="14" t="s">
        <v>26</v>
      </c>
      <c r="L98" s="14">
        <v>1</v>
      </c>
      <c r="M98" s="14" t="s">
        <v>27</v>
      </c>
      <c r="N98" s="14"/>
      <c r="O98" s="14"/>
      <c r="P98" s="14"/>
      <c r="Q98" s="14"/>
      <c r="R98" s="14"/>
      <c r="S98" s="14"/>
      <c r="T98" s="105">
        <v>17500</v>
      </c>
      <c r="U98" s="106">
        <f t="shared" si="4"/>
        <v>700000</v>
      </c>
      <c r="V98" s="107"/>
    </row>
    <row r="99" spans="1:22">
      <c r="A99" s="14"/>
      <c r="B99" s="104"/>
      <c r="C99" s="14"/>
      <c r="D99" s="14"/>
      <c r="E99" s="14" t="s">
        <v>40</v>
      </c>
      <c r="F99" s="14"/>
      <c r="G99" s="14" t="s">
        <v>71</v>
      </c>
      <c r="H99" s="14" t="s">
        <v>42</v>
      </c>
      <c r="I99" s="14">
        <v>4</v>
      </c>
      <c r="J99" s="14" t="s">
        <v>43</v>
      </c>
      <c r="K99" s="14" t="s">
        <v>26</v>
      </c>
      <c r="L99" s="14">
        <v>1</v>
      </c>
      <c r="M99" s="14" t="s">
        <v>27</v>
      </c>
      <c r="N99" s="14"/>
      <c r="O99" s="14"/>
      <c r="P99" s="14"/>
      <c r="Q99" s="14"/>
      <c r="R99" s="14"/>
      <c r="S99" s="14"/>
      <c r="T99" s="105">
        <v>22500</v>
      </c>
      <c r="U99" s="106">
        <f t="shared" si="4"/>
        <v>90000</v>
      </c>
      <c r="V99" s="107"/>
    </row>
    <row r="100" spans="1:22" ht="45">
      <c r="A100" s="14"/>
      <c r="B100" s="104"/>
      <c r="C100" s="14" t="s">
        <v>55</v>
      </c>
      <c r="D100" s="108" t="s">
        <v>123</v>
      </c>
      <c r="E100" s="14" t="s">
        <v>33</v>
      </c>
      <c r="F100" s="23" t="s">
        <v>37</v>
      </c>
      <c r="G100" s="14" t="s">
        <v>35</v>
      </c>
      <c r="H100" s="14" t="s">
        <v>24</v>
      </c>
      <c r="I100" s="14">
        <v>37</v>
      </c>
      <c r="J100" s="14" t="s">
        <v>25</v>
      </c>
      <c r="K100" s="14" t="s">
        <v>26</v>
      </c>
      <c r="L100" s="14">
        <v>1</v>
      </c>
      <c r="M100" s="14" t="s">
        <v>27</v>
      </c>
      <c r="N100" s="14"/>
      <c r="O100" s="14"/>
      <c r="P100" s="14"/>
      <c r="Q100" s="14"/>
      <c r="R100" s="14"/>
      <c r="S100" s="14"/>
      <c r="T100" s="105">
        <v>27500</v>
      </c>
      <c r="U100" s="106">
        <f t="shared" si="4"/>
        <v>1017500</v>
      </c>
      <c r="V100" s="107"/>
    </row>
    <row r="101" spans="1:22" ht="21" customHeight="1">
      <c r="A101" s="14"/>
      <c r="B101" s="104"/>
      <c r="C101" s="14"/>
      <c r="D101" s="14"/>
      <c r="E101" s="14" t="s">
        <v>33</v>
      </c>
      <c r="F101" s="23" t="s">
        <v>37</v>
      </c>
      <c r="G101" s="23" t="s">
        <v>38</v>
      </c>
      <c r="H101" s="14" t="s">
        <v>24</v>
      </c>
      <c r="I101" s="14">
        <v>37</v>
      </c>
      <c r="J101" s="14" t="s">
        <v>25</v>
      </c>
      <c r="K101" s="14" t="s">
        <v>26</v>
      </c>
      <c r="L101" s="14">
        <v>1</v>
      </c>
      <c r="M101" s="14" t="s">
        <v>27</v>
      </c>
      <c r="N101" s="14"/>
      <c r="O101" s="14"/>
      <c r="P101" s="14"/>
      <c r="Q101" s="14"/>
      <c r="R101" s="14"/>
      <c r="S101" s="14"/>
      <c r="T101" s="105">
        <v>17500</v>
      </c>
      <c r="U101" s="106">
        <f t="shared" si="4"/>
        <v>647500</v>
      </c>
      <c r="V101" s="107"/>
    </row>
    <row r="102" spans="1:22">
      <c r="A102" s="14"/>
      <c r="B102" s="104"/>
      <c r="C102" s="14"/>
      <c r="D102" s="14"/>
      <c r="E102" s="14" t="s">
        <v>40</v>
      </c>
      <c r="F102" s="14"/>
      <c r="G102" s="14" t="s">
        <v>71</v>
      </c>
      <c r="H102" s="14" t="s">
        <v>42</v>
      </c>
      <c r="I102" s="14">
        <v>4</v>
      </c>
      <c r="J102" s="14" t="s">
        <v>43</v>
      </c>
      <c r="K102" s="14" t="s">
        <v>26</v>
      </c>
      <c r="L102" s="14">
        <v>1</v>
      </c>
      <c r="M102" s="14" t="s">
        <v>27</v>
      </c>
      <c r="N102" s="14"/>
      <c r="O102" s="14"/>
      <c r="P102" s="14"/>
      <c r="Q102" s="14"/>
      <c r="R102" s="14"/>
      <c r="S102" s="14"/>
      <c r="T102" s="105">
        <v>22500</v>
      </c>
      <c r="U102" s="106">
        <f t="shared" si="4"/>
        <v>90000</v>
      </c>
      <c r="V102" s="107"/>
    </row>
    <row r="103" spans="1:22" ht="30" customHeight="1">
      <c r="A103" s="14"/>
      <c r="B103" s="104"/>
      <c r="C103" s="16" t="s">
        <v>58</v>
      </c>
      <c r="D103" s="108" t="s">
        <v>124</v>
      </c>
      <c r="E103" s="51" t="s">
        <v>72</v>
      </c>
      <c r="F103" s="17" t="s">
        <v>95</v>
      </c>
      <c r="G103" s="17" t="s">
        <v>125</v>
      </c>
      <c r="H103" s="17" t="s">
        <v>24</v>
      </c>
      <c r="I103" s="16">
        <v>10</v>
      </c>
      <c r="J103" s="17" t="s">
        <v>25</v>
      </c>
      <c r="K103" s="17" t="s">
        <v>26</v>
      </c>
      <c r="L103" s="16">
        <v>5</v>
      </c>
      <c r="M103" s="17" t="s">
        <v>126</v>
      </c>
      <c r="N103" s="17" t="s">
        <v>26</v>
      </c>
      <c r="O103" s="16">
        <v>11</v>
      </c>
      <c r="P103" s="17" t="s">
        <v>98</v>
      </c>
      <c r="Q103" s="17"/>
      <c r="R103" s="16"/>
      <c r="S103" s="16"/>
      <c r="T103" s="105">
        <v>50000</v>
      </c>
      <c r="U103" s="106">
        <f>I103*L103*T103*O103</f>
        <v>27500000</v>
      </c>
      <c r="V103" s="107"/>
    </row>
    <row r="104" spans="1:22" ht="29.25" customHeight="1">
      <c r="A104" s="14"/>
      <c r="B104" s="104"/>
      <c r="C104" s="14" t="s">
        <v>127</v>
      </c>
      <c r="D104" s="108" t="s">
        <v>128</v>
      </c>
      <c r="E104" s="14" t="s">
        <v>33</v>
      </c>
      <c r="F104" s="23" t="s">
        <v>37</v>
      </c>
      <c r="G104" s="14" t="s">
        <v>35</v>
      </c>
      <c r="H104" s="14" t="s">
        <v>24</v>
      </c>
      <c r="I104" s="14">
        <v>25</v>
      </c>
      <c r="J104" s="14" t="s">
        <v>25</v>
      </c>
      <c r="K104" s="14" t="s">
        <v>26</v>
      </c>
      <c r="L104" s="14">
        <v>11</v>
      </c>
      <c r="M104" s="14" t="s">
        <v>98</v>
      </c>
      <c r="N104" s="14"/>
      <c r="O104" s="14"/>
      <c r="P104" s="14"/>
      <c r="Q104" s="14"/>
      <c r="R104" s="14"/>
      <c r="S104" s="14"/>
      <c r="T104" s="105">
        <v>27500</v>
      </c>
      <c r="U104" s="106">
        <f t="shared" ref="U104:U126" si="5">I104*L104*T104</f>
        <v>7562500</v>
      </c>
      <c r="V104" s="107"/>
    </row>
    <row r="105" spans="1:22" ht="21" customHeight="1">
      <c r="A105" s="14"/>
      <c r="B105" s="104"/>
      <c r="C105" s="14"/>
      <c r="D105" s="14"/>
      <c r="E105" s="14" t="s">
        <v>33</v>
      </c>
      <c r="F105" s="23" t="s">
        <v>37</v>
      </c>
      <c r="G105" s="23" t="s">
        <v>38</v>
      </c>
      <c r="H105" s="14" t="s">
        <v>24</v>
      </c>
      <c r="I105" s="14">
        <v>25</v>
      </c>
      <c r="J105" s="14" t="s">
        <v>25</v>
      </c>
      <c r="K105" s="14" t="s">
        <v>26</v>
      </c>
      <c r="L105" s="14">
        <v>11</v>
      </c>
      <c r="M105" s="14" t="s">
        <v>98</v>
      </c>
      <c r="N105" s="14"/>
      <c r="O105" s="14"/>
      <c r="P105" s="14"/>
      <c r="Q105" s="14"/>
      <c r="R105" s="14"/>
      <c r="S105" s="14"/>
      <c r="T105" s="105">
        <v>17500</v>
      </c>
      <c r="U105" s="106">
        <f t="shared" si="5"/>
        <v>4812500</v>
      </c>
      <c r="V105" s="107"/>
    </row>
    <row r="106" spans="1:22">
      <c r="A106" s="14"/>
      <c r="B106" s="104"/>
      <c r="C106" s="14"/>
      <c r="D106" s="14"/>
      <c r="E106" s="14" t="s">
        <v>40</v>
      </c>
      <c r="F106" s="14"/>
      <c r="G106" s="14" t="s">
        <v>71</v>
      </c>
      <c r="H106" s="14" t="s">
        <v>42</v>
      </c>
      <c r="I106" s="14">
        <v>4</v>
      </c>
      <c r="J106" s="14" t="s">
        <v>43</v>
      </c>
      <c r="K106" s="14" t="s">
        <v>26</v>
      </c>
      <c r="L106" s="14">
        <v>11</v>
      </c>
      <c r="M106" s="14" t="s">
        <v>98</v>
      </c>
      <c r="N106" s="14"/>
      <c r="O106" s="14"/>
      <c r="P106" s="14"/>
      <c r="Q106" s="14"/>
      <c r="R106" s="14"/>
      <c r="S106" s="14"/>
      <c r="T106" s="105">
        <v>22500</v>
      </c>
      <c r="U106" s="106">
        <f t="shared" si="5"/>
        <v>990000</v>
      </c>
      <c r="V106" s="107"/>
    </row>
    <row r="107" spans="1:22" ht="21" customHeight="1">
      <c r="A107" s="14"/>
      <c r="B107" s="104"/>
      <c r="C107" s="14" t="s">
        <v>129</v>
      </c>
      <c r="D107" s="108" t="s">
        <v>130</v>
      </c>
      <c r="E107" s="14" t="s">
        <v>33</v>
      </c>
      <c r="F107" s="23" t="s">
        <v>37</v>
      </c>
      <c r="G107" s="14" t="s">
        <v>35</v>
      </c>
      <c r="H107" s="14" t="s">
        <v>24</v>
      </c>
      <c r="I107" s="14">
        <v>37</v>
      </c>
      <c r="J107" s="14" t="s">
        <v>25</v>
      </c>
      <c r="K107" s="14" t="s">
        <v>26</v>
      </c>
      <c r="L107" s="14">
        <v>3</v>
      </c>
      <c r="M107" s="14" t="s">
        <v>27</v>
      </c>
      <c r="N107" s="14"/>
      <c r="O107" s="14"/>
      <c r="P107" s="14"/>
      <c r="Q107" s="14"/>
      <c r="R107" s="14"/>
      <c r="S107" s="14"/>
      <c r="T107" s="105">
        <v>27500</v>
      </c>
      <c r="U107" s="106">
        <f t="shared" si="5"/>
        <v>3052500</v>
      </c>
      <c r="V107" s="107"/>
    </row>
    <row r="108" spans="1:22" ht="21.75" customHeight="1">
      <c r="A108" s="14"/>
      <c r="B108" s="104"/>
      <c r="C108" s="14"/>
      <c r="D108" s="14"/>
      <c r="E108" s="14" t="s">
        <v>33</v>
      </c>
      <c r="F108" s="23" t="s">
        <v>37</v>
      </c>
      <c r="G108" s="23" t="s">
        <v>38</v>
      </c>
      <c r="H108" s="14" t="s">
        <v>24</v>
      </c>
      <c r="I108" s="14">
        <v>37</v>
      </c>
      <c r="J108" s="14" t="s">
        <v>25</v>
      </c>
      <c r="K108" s="14" t="s">
        <v>26</v>
      </c>
      <c r="L108" s="14">
        <v>3</v>
      </c>
      <c r="M108" s="14" t="s">
        <v>27</v>
      </c>
      <c r="N108" s="14"/>
      <c r="O108" s="14"/>
      <c r="P108" s="14"/>
      <c r="Q108" s="14"/>
      <c r="R108" s="14"/>
      <c r="S108" s="14"/>
      <c r="T108" s="105">
        <v>17500</v>
      </c>
      <c r="U108" s="106">
        <f t="shared" si="5"/>
        <v>1942500</v>
      </c>
      <c r="V108" s="107"/>
    </row>
    <row r="109" spans="1:22">
      <c r="A109" s="14"/>
      <c r="B109" s="104"/>
      <c r="C109" s="14"/>
      <c r="D109" s="14"/>
      <c r="E109" s="14" t="s">
        <v>40</v>
      </c>
      <c r="F109" s="14"/>
      <c r="G109" s="14" t="s">
        <v>71</v>
      </c>
      <c r="H109" s="14" t="s">
        <v>42</v>
      </c>
      <c r="I109" s="14">
        <v>4</v>
      </c>
      <c r="J109" s="14" t="s">
        <v>43</v>
      </c>
      <c r="K109" s="14" t="s">
        <v>26</v>
      </c>
      <c r="L109" s="14">
        <v>1</v>
      </c>
      <c r="M109" s="14" t="s">
        <v>27</v>
      </c>
      <c r="N109" s="14"/>
      <c r="O109" s="14"/>
      <c r="P109" s="14"/>
      <c r="Q109" s="14"/>
      <c r="R109" s="14"/>
      <c r="S109" s="14"/>
      <c r="T109" s="105">
        <v>22500</v>
      </c>
      <c r="U109" s="106">
        <f t="shared" si="5"/>
        <v>90000</v>
      </c>
      <c r="V109" s="107"/>
    </row>
    <row r="110" spans="1:22" ht="18">
      <c r="A110" s="14"/>
      <c r="B110" s="104"/>
      <c r="C110" s="14"/>
      <c r="D110" s="14"/>
      <c r="E110" s="51" t="s">
        <v>72</v>
      </c>
      <c r="F110" s="23" t="s">
        <v>131</v>
      </c>
      <c r="G110" s="17" t="s">
        <v>96</v>
      </c>
      <c r="H110" s="14" t="s">
        <v>24</v>
      </c>
      <c r="I110" s="14">
        <v>34</v>
      </c>
      <c r="J110" s="14" t="s">
        <v>25</v>
      </c>
      <c r="K110" s="14" t="s">
        <v>26</v>
      </c>
      <c r="L110" s="14">
        <v>3</v>
      </c>
      <c r="M110" s="14" t="s">
        <v>27</v>
      </c>
      <c r="N110" s="14"/>
      <c r="O110" s="14"/>
      <c r="P110" s="14"/>
      <c r="Q110" s="14"/>
      <c r="R110" s="14"/>
      <c r="S110" s="14"/>
      <c r="T110" s="105">
        <v>50000</v>
      </c>
      <c r="U110" s="106">
        <f t="shared" si="5"/>
        <v>5100000</v>
      </c>
      <c r="V110" s="107"/>
    </row>
    <row r="111" spans="1:22" ht="18">
      <c r="A111" s="14"/>
      <c r="B111" s="104"/>
      <c r="C111" s="14" t="s">
        <v>132</v>
      </c>
      <c r="D111" s="108" t="s">
        <v>133</v>
      </c>
      <c r="E111" s="14" t="s">
        <v>33</v>
      </c>
      <c r="F111" s="23" t="s">
        <v>37</v>
      </c>
      <c r="G111" s="14" t="s">
        <v>35</v>
      </c>
      <c r="H111" s="14" t="s">
        <v>24</v>
      </c>
      <c r="I111" s="14">
        <v>30</v>
      </c>
      <c r="J111" s="14" t="s">
        <v>25</v>
      </c>
      <c r="K111" s="14" t="s">
        <v>26</v>
      </c>
      <c r="L111" s="14">
        <v>3</v>
      </c>
      <c r="M111" s="14" t="s">
        <v>27</v>
      </c>
      <c r="N111" s="14"/>
      <c r="O111" s="14"/>
      <c r="P111" s="14"/>
      <c r="Q111" s="14"/>
      <c r="R111" s="14"/>
      <c r="S111" s="14"/>
      <c r="T111" s="105">
        <v>27500</v>
      </c>
      <c r="U111" s="106">
        <f t="shared" si="5"/>
        <v>2475000</v>
      </c>
      <c r="V111" s="107"/>
    </row>
    <row r="112" spans="1:22" ht="21.75" customHeight="1">
      <c r="A112" s="14"/>
      <c r="B112" s="104"/>
      <c r="C112" s="14"/>
      <c r="D112" s="14"/>
      <c r="E112" s="14" t="s">
        <v>33</v>
      </c>
      <c r="F112" s="23" t="s">
        <v>37</v>
      </c>
      <c r="G112" s="23" t="s">
        <v>38</v>
      </c>
      <c r="H112" s="14" t="s">
        <v>24</v>
      </c>
      <c r="I112" s="14">
        <v>30</v>
      </c>
      <c r="J112" s="14" t="s">
        <v>25</v>
      </c>
      <c r="K112" s="14" t="s">
        <v>26</v>
      </c>
      <c r="L112" s="14">
        <v>3</v>
      </c>
      <c r="M112" s="14" t="s">
        <v>27</v>
      </c>
      <c r="N112" s="14"/>
      <c r="O112" s="14"/>
      <c r="P112" s="14"/>
      <c r="Q112" s="14"/>
      <c r="R112" s="14"/>
      <c r="S112" s="14"/>
      <c r="T112" s="105">
        <v>17500</v>
      </c>
      <c r="U112" s="106">
        <f t="shared" si="5"/>
        <v>1575000</v>
      </c>
      <c r="V112" s="107"/>
    </row>
    <row r="113" spans="1:22">
      <c r="A113" s="14"/>
      <c r="B113" s="104"/>
      <c r="C113" s="14"/>
      <c r="D113" s="14"/>
      <c r="E113" s="14" t="s">
        <v>40</v>
      </c>
      <c r="F113" s="14"/>
      <c r="G113" s="14" t="s">
        <v>71</v>
      </c>
      <c r="H113" s="14" t="s">
        <v>42</v>
      </c>
      <c r="I113" s="14">
        <v>4</v>
      </c>
      <c r="J113" s="14" t="s">
        <v>43</v>
      </c>
      <c r="K113" s="14" t="s">
        <v>26</v>
      </c>
      <c r="L113" s="14">
        <v>1</v>
      </c>
      <c r="M113" s="14" t="s">
        <v>27</v>
      </c>
      <c r="N113" s="14"/>
      <c r="O113" s="14"/>
      <c r="P113" s="14"/>
      <c r="Q113" s="14"/>
      <c r="R113" s="14"/>
      <c r="S113" s="14"/>
      <c r="T113" s="105">
        <v>22500</v>
      </c>
      <c r="U113" s="106">
        <f t="shared" si="5"/>
        <v>90000</v>
      </c>
      <c r="V113" s="107"/>
    </row>
    <row r="114" spans="1:22" ht="18">
      <c r="A114" s="14"/>
      <c r="B114" s="104"/>
      <c r="C114" s="14"/>
      <c r="D114" s="14"/>
      <c r="E114" s="51" t="s">
        <v>72</v>
      </c>
      <c r="F114" s="23" t="s">
        <v>131</v>
      </c>
      <c r="G114" s="17" t="s">
        <v>96</v>
      </c>
      <c r="H114" s="14" t="s">
        <v>24</v>
      </c>
      <c r="I114" s="14">
        <v>26</v>
      </c>
      <c r="J114" s="14" t="s">
        <v>25</v>
      </c>
      <c r="K114" s="14" t="s">
        <v>26</v>
      </c>
      <c r="L114" s="14">
        <v>3</v>
      </c>
      <c r="M114" s="14" t="s">
        <v>27</v>
      </c>
      <c r="N114" s="14"/>
      <c r="O114" s="14"/>
      <c r="P114" s="14"/>
      <c r="Q114" s="14"/>
      <c r="R114" s="14"/>
      <c r="S114" s="14"/>
      <c r="T114" s="105">
        <v>50000</v>
      </c>
      <c r="U114" s="106">
        <f t="shared" si="5"/>
        <v>3900000</v>
      </c>
      <c r="V114" s="107"/>
    </row>
    <row r="115" spans="1:22" ht="21" customHeight="1">
      <c r="A115" s="14"/>
      <c r="B115" s="104"/>
      <c r="C115" s="14" t="s">
        <v>134</v>
      </c>
      <c r="D115" s="108" t="s">
        <v>135</v>
      </c>
      <c r="E115" s="14" t="s">
        <v>33</v>
      </c>
      <c r="F115" s="23" t="s">
        <v>37</v>
      </c>
      <c r="G115" s="14" t="s">
        <v>35</v>
      </c>
      <c r="H115" s="14" t="s">
        <v>24</v>
      </c>
      <c r="I115" s="14">
        <v>37</v>
      </c>
      <c r="J115" s="14" t="s">
        <v>25</v>
      </c>
      <c r="K115" s="14" t="s">
        <v>26</v>
      </c>
      <c r="L115" s="14">
        <v>1</v>
      </c>
      <c r="M115" s="14" t="s">
        <v>27</v>
      </c>
      <c r="N115" s="14"/>
      <c r="O115" s="14"/>
      <c r="P115" s="14"/>
      <c r="Q115" s="14"/>
      <c r="R115" s="14"/>
      <c r="S115" s="14"/>
      <c r="T115" s="105">
        <v>27500</v>
      </c>
      <c r="U115" s="106">
        <f t="shared" si="5"/>
        <v>1017500</v>
      </c>
      <c r="V115" s="107"/>
    </row>
    <row r="116" spans="1:22" ht="21" customHeight="1">
      <c r="A116" s="14"/>
      <c r="B116" s="104"/>
      <c r="C116" s="14"/>
      <c r="D116" s="14"/>
      <c r="E116" s="14" t="s">
        <v>33</v>
      </c>
      <c r="F116" s="23" t="s">
        <v>37</v>
      </c>
      <c r="G116" s="23" t="s">
        <v>38</v>
      </c>
      <c r="H116" s="14" t="s">
        <v>24</v>
      </c>
      <c r="I116" s="14">
        <v>37</v>
      </c>
      <c r="J116" s="14" t="s">
        <v>25</v>
      </c>
      <c r="K116" s="14" t="s">
        <v>26</v>
      </c>
      <c r="L116" s="14">
        <v>1</v>
      </c>
      <c r="M116" s="14" t="s">
        <v>27</v>
      </c>
      <c r="N116" s="14"/>
      <c r="O116" s="14"/>
      <c r="P116" s="14"/>
      <c r="Q116" s="14"/>
      <c r="R116" s="14"/>
      <c r="S116" s="14"/>
      <c r="T116" s="105">
        <v>17500</v>
      </c>
      <c r="U116" s="106">
        <f t="shared" si="5"/>
        <v>647500</v>
      </c>
      <c r="V116" s="107"/>
    </row>
    <row r="117" spans="1:22">
      <c r="A117" s="14"/>
      <c r="B117" s="104"/>
      <c r="C117" s="14"/>
      <c r="D117" s="14"/>
      <c r="E117" s="14" t="s">
        <v>40</v>
      </c>
      <c r="F117" s="14"/>
      <c r="G117" s="14" t="s">
        <v>71</v>
      </c>
      <c r="H117" s="14" t="s">
        <v>42</v>
      </c>
      <c r="I117" s="14">
        <v>4</v>
      </c>
      <c r="J117" s="14" t="s">
        <v>43</v>
      </c>
      <c r="K117" s="14" t="s">
        <v>26</v>
      </c>
      <c r="L117" s="14">
        <v>1</v>
      </c>
      <c r="M117" s="14" t="s">
        <v>27</v>
      </c>
      <c r="N117" s="14"/>
      <c r="O117" s="14"/>
      <c r="P117" s="14"/>
      <c r="Q117" s="14"/>
      <c r="R117" s="14"/>
      <c r="S117" s="14"/>
      <c r="T117" s="105">
        <v>22500</v>
      </c>
      <c r="U117" s="106">
        <f t="shared" si="5"/>
        <v>90000</v>
      </c>
      <c r="V117" s="107"/>
    </row>
    <row r="118" spans="1:22" ht="18">
      <c r="A118" s="14"/>
      <c r="B118" s="104"/>
      <c r="C118" s="14"/>
      <c r="D118" s="14"/>
      <c r="E118" s="51" t="s">
        <v>72</v>
      </c>
      <c r="F118" s="14" t="s">
        <v>125</v>
      </c>
      <c r="G118" s="17" t="s">
        <v>73</v>
      </c>
      <c r="H118" s="14" t="s">
        <v>24</v>
      </c>
      <c r="I118" s="14">
        <v>33</v>
      </c>
      <c r="J118" s="14" t="s">
        <v>25</v>
      </c>
      <c r="K118" s="14" t="s">
        <v>26</v>
      </c>
      <c r="L118" s="14">
        <v>1</v>
      </c>
      <c r="M118" s="14" t="s">
        <v>27</v>
      </c>
      <c r="N118" s="14"/>
      <c r="O118" s="14"/>
      <c r="P118" s="14"/>
      <c r="Q118" s="14"/>
      <c r="R118" s="14"/>
      <c r="S118" s="14"/>
      <c r="T118" s="105">
        <v>50000</v>
      </c>
      <c r="U118" s="106">
        <f t="shared" si="5"/>
        <v>1650000</v>
      </c>
      <c r="V118" s="107"/>
    </row>
    <row r="119" spans="1:22" ht="19.5" customHeight="1">
      <c r="A119" s="14"/>
      <c r="B119" s="104"/>
      <c r="C119" s="14" t="s">
        <v>136</v>
      </c>
      <c r="D119" s="108" t="s">
        <v>137</v>
      </c>
      <c r="E119" s="14" t="s">
        <v>33</v>
      </c>
      <c r="F119" s="23" t="s">
        <v>37</v>
      </c>
      <c r="G119" s="14" t="s">
        <v>35</v>
      </c>
      <c r="H119" s="14" t="s">
        <v>24</v>
      </c>
      <c r="I119" s="14">
        <v>30</v>
      </c>
      <c r="J119" s="14" t="s">
        <v>25</v>
      </c>
      <c r="K119" s="14" t="s">
        <v>26</v>
      </c>
      <c r="L119" s="14">
        <v>1</v>
      </c>
      <c r="M119" s="14" t="s">
        <v>27</v>
      </c>
      <c r="N119" s="14"/>
      <c r="O119" s="14"/>
      <c r="P119" s="14"/>
      <c r="Q119" s="14"/>
      <c r="R119" s="14"/>
      <c r="S119" s="14"/>
      <c r="T119" s="105">
        <v>27500</v>
      </c>
      <c r="U119" s="106">
        <f t="shared" si="5"/>
        <v>825000</v>
      </c>
      <c r="V119" s="107"/>
    </row>
    <row r="120" spans="1:22" ht="20.25" customHeight="1">
      <c r="A120" s="14"/>
      <c r="B120" s="104"/>
      <c r="C120" s="14"/>
      <c r="D120" s="14"/>
      <c r="E120" s="14" t="s">
        <v>33</v>
      </c>
      <c r="F120" s="23" t="s">
        <v>37</v>
      </c>
      <c r="G120" s="23" t="s">
        <v>38</v>
      </c>
      <c r="H120" s="14" t="s">
        <v>24</v>
      </c>
      <c r="I120" s="14">
        <v>30</v>
      </c>
      <c r="J120" s="14" t="s">
        <v>25</v>
      </c>
      <c r="K120" s="14" t="s">
        <v>26</v>
      </c>
      <c r="L120" s="14">
        <v>1</v>
      </c>
      <c r="M120" s="14" t="s">
        <v>27</v>
      </c>
      <c r="N120" s="14"/>
      <c r="O120" s="14"/>
      <c r="P120" s="14"/>
      <c r="Q120" s="14"/>
      <c r="R120" s="14"/>
      <c r="S120" s="14"/>
      <c r="T120" s="105">
        <v>17500</v>
      </c>
      <c r="U120" s="106">
        <f t="shared" si="5"/>
        <v>525000</v>
      </c>
      <c r="V120" s="107"/>
    </row>
    <row r="121" spans="1:22">
      <c r="A121" s="14"/>
      <c r="B121" s="104"/>
      <c r="C121" s="14"/>
      <c r="D121" s="14"/>
      <c r="E121" s="14" t="s">
        <v>40</v>
      </c>
      <c r="F121" s="14"/>
      <c r="G121" s="14" t="s">
        <v>71</v>
      </c>
      <c r="H121" s="14" t="s">
        <v>42</v>
      </c>
      <c r="I121" s="14">
        <v>4</v>
      </c>
      <c r="J121" s="14" t="s">
        <v>43</v>
      </c>
      <c r="K121" s="14" t="s">
        <v>26</v>
      </c>
      <c r="L121" s="14">
        <v>1</v>
      </c>
      <c r="M121" s="14" t="s">
        <v>27</v>
      </c>
      <c r="N121" s="14"/>
      <c r="O121" s="14"/>
      <c r="P121" s="14"/>
      <c r="Q121" s="14"/>
      <c r="R121" s="14"/>
      <c r="S121" s="14"/>
      <c r="T121" s="105">
        <v>22500</v>
      </c>
      <c r="U121" s="106">
        <f t="shared" si="5"/>
        <v>90000</v>
      </c>
      <c r="V121" s="107"/>
    </row>
    <row r="122" spans="1:22" ht="30" customHeight="1">
      <c r="A122" s="14"/>
      <c r="B122" s="104"/>
      <c r="C122" s="14" t="s">
        <v>138</v>
      </c>
      <c r="D122" s="108" t="s">
        <v>139</v>
      </c>
      <c r="E122" s="14" t="s">
        <v>33</v>
      </c>
      <c r="F122" s="23" t="s">
        <v>37</v>
      </c>
      <c r="G122" s="14" t="s">
        <v>35</v>
      </c>
      <c r="H122" s="14" t="s">
        <v>24</v>
      </c>
      <c r="I122" s="14">
        <v>40</v>
      </c>
      <c r="J122" s="14" t="s">
        <v>25</v>
      </c>
      <c r="K122" s="14" t="s">
        <v>26</v>
      </c>
      <c r="L122" s="14">
        <v>1</v>
      </c>
      <c r="M122" s="14" t="s">
        <v>27</v>
      </c>
      <c r="N122" s="14"/>
      <c r="O122" s="14"/>
      <c r="P122" s="14"/>
      <c r="Q122" s="14"/>
      <c r="R122" s="14"/>
      <c r="S122" s="14"/>
      <c r="T122" s="105">
        <v>27500</v>
      </c>
      <c r="U122" s="106">
        <f t="shared" si="5"/>
        <v>1100000</v>
      </c>
      <c r="V122" s="107"/>
    </row>
    <row r="123" spans="1:22" ht="21" customHeight="1">
      <c r="A123" s="14"/>
      <c r="B123" s="104"/>
      <c r="C123" s="14"/>
      <c r="D123" s="14"/>
      <c r="E123" s="14" t="s">
        <v>33</v>
      </c>
      <c r="F123" s="23" t="s">
        <v>37</v>
      </c>
      <c r="G123" s="23" t="s">
        <v>38</v>
      </c>
      <c r="H123" s="14" t="s">
        <v>24</v>
      </c>
      <c r="I123" s="14">
        <v>40</v>
      </c>
      <c r="J123" s="14" t="s">
        <v>25</v>
      </c>
      <c r="K123" s="14" t="s">
        <v>26</v>
      </c>
      <c r="L123" s="14">
        <v>1</v>
      </c>
      <c r="M123" s="14" t="s">
        <v>27</v>
      </c>
      <c r="N123" s="14"/>
      <c r="O123" s="14"/>
      <c r="P123" s="14"/>
      <c r="Q123" s="14"/>
      <c r="R123" s="14"/>
      <c r="S123" s="14"/>
      <c r="T123" s="105">
        <v>17500</v>
      </c>
      <c r="U123" s="106">
        <f t="shared" si="5"/>
        <v>700000</v>
      </c>
      <c r="V123" s="107"/>
    </row>
    <row r="124" spans="1:22">
      <c r="A124" s="14"/>
      <c r="B124" s="104"/>
      <c r="C124" s="14"/>
      <c r="D124" s="14"/>
      <c r="E124" s="14" t="s">
        <v>40</v>
      </c>
      <c r="F124" s="14"/>
      <c r="G124" s="14" t="s">
        <v>71</v>
      </c>
      <c r="H124" s="14" t="s">
        <v>42</v>
      </c>
      <c r="I124" s="14">
        <v>4</v>
      </c>
      <c r="J124" s="14" t="s">
        <v>43</v>
      </c>
      <c r="K124" s="14" t="s">
        <v>26</v>
      </c>
      <c r="L124" s="14">
        <v>1</v>
      </c>
      <c r="M124" s="14" t="s">
        <v>27</v>
      </c>
      <c r="N124" s="14"/>
      <c r="O124" s="14"/>
      <c r="P124" s="14"/>
      <c r="Q124" s="14"/>
      <c r="R124" s="14"/>
      <c r="S124" s="14"/>
      <c r="T124" s="105">
        <v>22500</v>
      </c>
      <c r="U124" s="106">
        <f t="shared" si="5"/>
        <v>90000</v>
      </c>
      <c r="V124" s="107"/>
    </row>
    <row r="125" spans="1:22" ht="18">
      <c r="A125" s="14"/>
      <c r="B125" s="104"/>
      <c r="C125" s="14"/>
      <c r="D125" s="14"/>
      <c r="E125" s="51" t="s">
        <v>72</v>
      </c>
      <c r="F125" s="14" t="s">
        <v>125</v>
      </c>
      <c r="G125" s="17" t="s">
        <v>95</v>
      </c>
      <c r="H125" s="14" t="s">
        <v>24</v>
      </c>
      <c r="I125" s="14">
        <v>33</v>
      </c>
      <c r="J125" s="14" t="s">
        <v>25</v>
      </c>
      <c r="K125" s="14" t="s">
        <v>26</v>
      </c>
      <c r="L125" s="14">
        <v>1</v>
      </c>
      <c r="M125" s="14" t="s">
        <v>27</v>
      </c>
      <c r="N125" s="14"/>
      <c r="O125" s="14"/>
      <c r="P125" s="14"/>
      <c r="Q125" s="14"/>
      <c r="R125" s="14"/>
      <c r="S125" s="14"/>
      <c r="T125" s="105">
        <v>50000</v>
      </c>
      <c r="U125" s="106">
        <f t="shared" si="5"/>
        <v>1650000</v>
      </c>
      <c r="V125" s="107"/>
    </row>
    <row r="126" spans="1:22" ht="18">
      <c r="A126" s="14"/>
      <c r="B126" s="104"/>
      <c r="C126" s="14"/>
      <c r="D126" s="14"/>
      <c r="E126" s="23" t="s">
        <v>140</v>
      </c>
      <c r="F126" s="23" t="s">
        <v>141</v>
      </c>
      <c r="G126" s="23" t="s">
        <v>142</v>
      </c>
      <c r="H126" s="23" t="s">
        <v>116</v>
      </c>
      <c r="I126" s="14">
        <v>1</v>
      </c>
      <c r="J126" s="14" t="s">
        <v>25</v>
      </c>
      <c r="K126" s="14" t="s">
        <v>26</v>
      </c>
      <c r="L126" s="14">
        <v>1</v>
      </c>
      <c r="M126" s="14" t="s">
        <v>27</v>
      </c>
      <c r="N126" s="14"/>
      <c r="O126" s="14"/>
      <c r="P126" s="14"/>
      <c r="Q126" s="14"/>
      <c r="R126" s="14"/>
      <c r="S126" s="14"/>
      <c r="T126" s="105">
        <v>250000</v>
      </c>
      <c r="U126" s="106">
        <f t="shared" si="5"/>
        <v>250000</v>
      </c>
      <c r="V126" s="107"/>
    </row>
    <row r="127" spans="1:22" ht="35.25" customHeight="1">
      <c r="A127" s="109"/>
      <c r="B127" s="110" t="s">
        <v>44</v>
      </c>
      <c r="C127" s="371" t="s">
        <v>143</v>
      </c>
      <c r="D127" s="37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2"/>
      <c r="U127" s="112"/>
      <c r="V127" s="112">
        <f>SUM(U128:U133)</f>
        <v>8409999.5099999998</v>
      </c>
    </row>
    <row r="128" spans="1:22" ht="36">
      <c r="A128" s="28"/>
      <c r="B128" s="113"/>
      <c r="C128" s="28" t="s">
        <v>50</v>
      </c>
      <c r="D128" s="114" t="s">
        <v>144</v>
      </c>
      <c r="E128" s="115" t="s">
        <v>21</v>
      </c>
      <c r="F128" s="17" t="s">
        <v>22</v>
      </c>
      <c r="G128" s="17" t="s">
        <v>23</v>
      </c>
      <c r="H128" s="116" t="s">
        <v>24</v>
      </c>
      <c r="I128" s="115">
        <v>3</v>
      </c>
      <c r="J128" s="116" t="s">
        <v>25</v>
      </c>
      <c r="K128" s="116" t="s">
        <v>26</v>
      </c>
      <c r="L128" s="115">
        <v>3</v>
      </c>
      <c r="M128" s="116" t="s">
        <v>69</v>
      </c>
      <c r="N128" s="116" t="s">
        <v>26</v>
      </c>
      <c r="O128" s="115">
        <v>5</v>
      </c>
      <c r="P128" s="116" t="s">
        <v>30</v>
      </c>
      <c r="Q128" s="116"/>
      <c r="R128" s="115"/>
      <c r="S128" s="115"/>
      <c r="T128" s="117">
        <v>50000</v>
      </c>
      <c r="U128" s="118">
        <f>I128*L128*T128*O128</f>
        <v>2250000</v>
      </c>
      <c r="V128" s="119"/>
    </row>
    <row r="129" spans="1:22">
      <c r="A129" s="14"/>
      <c r="B129" s="104"/>
      <c r="C129" s="24"/>
      <c r="D129" s="24"/>
      <c r="E129" s="14" t="s">
        <v>40</v>
      </c>
      <c r="F129" s="23"/>
      <c r="G129" s="14" t="s">
        <v>71</v>
      </c>
      <c r="H129" s="14" t="s">
        <v>42</v>
      </c>
      <c r="I129" s="14">
        <v>3.259252</v>
      </c>
      <c r="J129" s="14" t="s">
        <v>43</v>
      </c>
      <c r="K129" s="14" t="s">
        <v>26</v>
      </c>
      <c r="L129" s="14">
        <v>3</v>
      </c>
      <c r="M129" s="14" t="s">
        <v>27</v>
      </c>
      <c r="N129" s="14"/>
      <c r="O129" s="14"/>
      <c r="P129" s="14"/>
      <c r="Q129" s="14"/>
      <c r="R129" s="14"/>
      <c r="S129" s="14"/>
      <c r="T129" s="105">
        <v>22500</v>
      </c>
      <c r="U129" s="106">
        <f>I129*L129*T129</f>
        <v>219999.51</v>
      </c>
      <c r="V129" s="107"/>
    </row>
    <row r="130" spans="1:22">
      <c r="A130" s="14"/>
      <c r="B130" s="284"/>
      <c r="C130" s="50"/>
      <c r="D130" s="50"/>
      <c r="E130" s="285"/>
      <c r="F130" s="2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05"/>
      <c r="U130" s="106"/>
      <c r="V130" s="107"/>
    </row>
    <row r="131" spans="1:22" ht="27">
      <c r="A131" s="286"/>
      <c r="B131" s="287"/>
      <c r="C131" s="288" t="s">
        <v>28</v>
      </c>
      <c r="D131" s="289" t="s">
        <v>233</v>
      </c>
      <c r="E131" s="286" t="s">
        <v>33</v>
      </c>
      <c r="F131" s="290" t="s">
        <v>37</v>
      </c>
      <c r="G131" s="286" t="s">
        <v>35</v>
      </c>
      <c r="H131" s="286" t="s">
        <v>24</v>
      </c>
      <c r="I131" s="286">
        <v>65</v>
      </c>
      <c r="J131" s="286" t="s">
        <v>25</v>
      </c>
      <c r="K131" s="286" t="s">
        <v>26</v>
      </c>
      <c r="L131" s="286">
        <v>2</v>
      </c>
      <c r="M131" s="286" t="s">
        <v>27</v>
      </c>
      <c r="N131" s="286"/>
      <c r="O131" s="286"/>
      <c r="P131" s="286"/>
      <c r="Q131" s="286"/>
      <c r="R131" s="286"/>
      <c r="S131" s="286"/>
      <c r="T131" s="291">
        <v>27500</v>
      </c>
      <c r="U131" s="292">
        <f t="shared" ref="U131:U133" si="6">I131*L131*T131</f>
        <v>3575000</v>
      </c>
      <c r="V131" s="291"/>
    </row>
    <row r="132" spans="1:22" ht="18">
      <c r="A132" s="286"/>
      <c r="B132" s="287"/>
      <c r="C132" s="288"/>
      <c r="D132" s="288"/>
      <c r="E132" s="286" t="s">
        <v>33</v>
      </c>
      <c r="F132" s="290" t="s">
        <v>37</v>
      </c>
      <c r="G132" s="290" t="s">
        <v>38</v>
      </c>
      <c r="H132" s="286" t="s">
        <v>24</v>
      </c>
      <c r="I132" s="286">
        <v>65</v>
      </c>
      <c r="J132" s="286" t="s">
        <v>25</v>
      </c>
      <c r="K132" s="286" t="s">
        <v>26</v>
      </c>
      <c r="L132" s="286">
        <v>2</v>
      </c>
      <c r="M132" s="286" t="s">
        <v>27</v>
      </c>
      <c r="N132" s="286"/>
      <c r="O132" s="286"/>
      <c r="P132" s="286"/>
      <c r="Q132" s="286"/>
      <c r="R132" s="286"/>
      <c r="S132" s="286"/>
      <c r="T132" s="291">
        <v>17500</v>
      </c>
      <c r="U132" s="292">
        <f t="shared" si="6"/>
        <v>2275000</v>
      </c>
      <c r="V132" s="291"/>
    </row>
    <row r="133" spans="1:22">
      <c r="A133" s="286"/>
      <c r="B133" s="287"/>
      <c r="C133" s="288"/>
      <c r="D133" s="288"/>
      <c r="E133" s="286" t="s">
        <v>40</v>
      </c>
      <c r="F133" s="286"/>
      <c r="G133" s="286" t="s">
        <v>71</v>
      </c>
      <c r="H133" s="286" t="s">
        <v>42</v>
      </c>
      <c r="I133" s="286">
        <v>4</v>
      </c>
      <c r="J133" s="286" t="s">
        <v>43</v>
      </c>
      <c r="K133" s="286" t="s">
        <v>26</v>
      </c>
      <c r="L133" s="286">
        <v>1</v>
      </c>
      <c r="M133" s="286" t="s">
        <v>27</v>
      </c>
      <c r="N133" s="286"/>
      <c r="O133" s="286"/>
      <c r="P133" s="286"/>
      <c r="Q133" s="286"/>
      <c r="R133" s="286"/>
      <c r="S133" s="286"/>
      <c r="T133" s="291">
        <v>22500</v>
      </c>
      <c r="U133" s="292">
        <f t="shared" si="6"/>
        <v>90000</v>
      </c>
      <c r="V133" s="291"/>
    </row>
    <row r="134" spans="1:22">
      <c r="A134" s="14"/>
      <c r="B134" s="284"/>
      <c r="C134" s="50"/>
      <c r="D134" s="50"/>
      <c r="E134" s="285"/>
      <c r="F134" s="2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05"/>
      <c r="U134" s="106"/>
      <c r="V134" s="107"/>
    </row>
    <row r="135" spans="1:22">
      <c r="A135" s="120"/>
      <c r="B135" s="121" t="s">
        <v>48</v>
      </c>
      <c r="C135" s="372" t="s">
        <v>145</v>
      </c>
      <c r="D135" s="373"/>
      <c r="E135" s="122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4"/>
      <c r="U135" s="124"/>
      <c r="V135" s="124">
        <f>SUM(U136:U145)</f>
        <v>27410000</v>
      </c>
    </row>
    <row r="136" spans="1:22" ht="18">
      <c r="A136" s="14"/>
      <c r="B136" s="104"/>
      <c r="C136" s="28" t="s">
        <v>50</v>
      </c>
      <c r="D136" s="108" t="s">
        <v>146</v>
      </c>
      <c r="E136" s="14" t="s">
        <v>33</v>
      </c>
      <c r="F136" s="23" t="s">
        <v>37</v>
      </c>
      <c r="G136" s="14" t="s">
        <v>35</v>
      </c>
      <c r="H136" s="14" t="s">
        <v>24</v>
      </c>
      <c r="I136" s="14">
        <v>65</v>
      </c>
      <c r="J136" s="14" t="s">
        <v>25</v>
      </c>
      <c r="K136" s="14" t="s">
        <v>26</v>
      </c>
      <c r="L136" s="14">
        <v>2</v>
      </c>
      <c r="M136" s="14" t="s">
        <v>27</v>
      </c>
      <c r="N136" s="14"/>
      <c r="O136" s="14"/>
      <c r="P136" s="14"/>
      <c r="Q136" s="14"/>
      <c r="R136" s="14"/>
      <c r="S136" s="14"/>
      <c r="T136" s="105">
        <v>27500</v>
      </c>
      <c r="U136" s="106">
        <f t="shared" ref="U136:U145" si="7">I136*L136*T136</f>
        <v>3575000</v>
      </c>
      <c r="V136" s="107"/>
    </row>
    <row r="137" spans="1:22" ht="18">
      <c r="A137" s="14"/>
      <c r="B137" s="104"/>
      <c r="C137" s="14"/>
      <c r="D137" s="14"/>
      <c r="E137" s="14" t="s">
        <v>33</v>
      </c>
      <c r="F137" s="23" t="s">
        <v>37</v>
      </c>
      <c r="G137" s="23" t="s">
        <v>38</v>
      </c>
      <c r="H137" s="14" t="s">
        <v>24</v>
      </c>
      <c r="I137" s="14">
        <v>65</v>
      </c>
      <c r="J137" s="14" t="s">
        <v>25</v>
      </c>
      <c r="K137" s="14" t="s">
        <v>26</v>
      </c>
      <c r="L137" s="14">
        <v>2</v>
      </c>
      <c r="M137" s="14" t="s">
        <v>27</v>
      </c>
      <c r="N137" s="14"/>
      <c r="O137" s="14"/>
      <c r="P137" s="14"/>
      <c r="Q137" s="14"/>
      <c r="R137" s="14"/>
      <c r="S137" s="14"/>
      <c r="T137" s="105">
        <v>17500</v>
      </c>
      <c r="U137" s="106">
        <f t="shared" si="7"/>
        <v>2275000</v>
      </c>
      <c r="V137" s="107"/>
    </row>
    <row r="138" spans="1:22">
      <c r="A138" s="14"/>
      <c r="B138" s="104"/>
      <c r="C138" s="14"/>
      <c r="D138" s="14"/>
      <c r="E138" s="14" t="s">
        <v>40</v>
      </c>
      <c r="F138" s="14"/>
      <c r="G138" s="14" t="s">
        <v>71</v>
      </c>
      <c r="H138" s="14" t="s">
        <v>42</v>
      </c>
      <c r="I138" s="14">
        <v>4</v>
      </c>
      <c r="J138" s="14" t="s">
        <v>43</v>
      </c>
      <c r="K138" s="14" t="s">
        <v>26</v>
      </c>
      <c r="L138" s="14">
        <v>1</v>
      </c>
      <c r="M138" s="14" t="s">
        <v>27</v>
      </c>
      <c r="N138" s="14"/>
      <c r="O138" s="14"/>
      <c r="P138" s="14"/>
      <c r="Q138" s="14"/>
      <c r="R138" s="14"/>
      <c r="S138" s="14"/>
      <c r="T138" s="105">
        <v>22500</v>
      </c>
      <c r="U138" s="106">
        <f t="shared" si="7"/>
        <v>90000</v>
      </c>
      <c r="V138" s="107"/>
    </row>
    <row r="139" spans="1:22" ht="18">
      <c r="A139" s="14"/>
      <c r="B139" s="104"/>
      <c r="C139" s="14" t="s">
        <v>67</v>
      </c>
      <c r="D139" s="108" t="s">
        <v>147</v>
      </c>
      <c r="E139" s="14" t="s">
        <v>33</v>
      </c>
      <c r="F139" s="23" t="s">
        <v>37</v>
      </c>
      <c r="G139" s="14" t="s">
        <v>35</v>
      </c>
      <c r="H139" s="14" t="s">
        <v>24</v>
      </c>
      <c r="I139" s="14">
        <v>60</v>
      </c>
      <c r="J139" s="14" t="s">
        <v>25</v>
      </c>
      <c r="K139" s="14" t="s">
        <v>26</v>
      </c>
      <c r="L139" s="14">
        <v>7</v>
      </c>
      <c r="M139" s="14" t="s">
        <v>148</v>
      </c>
      <c r="N139" s="14"/>
      <c r="O139" s="14"/>
      <c r="P139" s="14"/>
      <c r="Q139" s="14"/>
      <c r="R139" s="14"/>
      <c r="S139" s="14"/>
      <c r="T139" s="105">
        <v>27500</v>
      </c>
      <c r="U139" s="106">
        <f t="shared" si="7"/>
        <v>11550000</v>
      </c>
      <c r="V139" s="107"/>
    </row>
    <row r="140" spans="1:22" ht="18">
      <c r="A140" s="14"/>
      <c r="B140" s="104"/>
      <c r="C140" s="14"/>
      <c r="D140" s="14"/>
      <c r="E140" s="14" t="s">
        <v>33</v>
      </c>
      <c r="F140" s="23" t="s">
        <v>37</v>
      </c>
      <c r="G140" s="23" t="s">
        <v>38</v>
      </c>
      <c r="H140" s="14" t="s">
        <v>24</v>
      </c>
      <c r="I140" s="14">
        <v>60</v>
      </c>
      <c r="J140" s="14" t="s">
        <v>25</v>
      </c>
      <c r="K140" s="14" t="s">
        <v>26</v>
      </c>
      <c r="L140" s="14">
        <v>7</v>
      </c>
      <c r="M140" s="14" t="s">
        <v>148</v>
      </c>
      <c r="N140" s="14"/>
      <c r="O140" s="14"/>
      <c r="P140" s="14"/>
      <c r="Q140" s="14"/>
      <c r="R140" s="14"/>
      <c r="S140" s="14"/>
      <c r="T140" s="105">
        <v>17500</v>
      </c>
      <c r="U140" s="106">
        <f t="shared" si="7"/>
        <v>7350000</v>
      </c>
      <c r="V140" s="107"/>
    </row>
    <row r="141" spans="1:22">
      <c r="A141" s="14"/>
      <c r="B141" s="104"/>
      <c r="C141" s="14"/>
      <c r="D141" s="14"/>
      <c r="E141" s="14" t="s">
        <v>40</v>
      </c>
      <c r="F141" s="14"/>
      <c r="G141" s="14" t="s">
        <v>71</v>
      </c>
      <c r="H141" s="14" t="s">
        <v>42</v>
      </c>
      <c r="I141" s="14">
        <v>4</v>
      </c>
      <c r="J141" s="14" t="s">
        <v>43</v>
      </c>
      <c r="K141" s="14" t="s">
        <v>26</v>
      </c>
      <c r="L141" s="14">
        <v>7</v>
      </c>
      <c r="M141" s="14" t="s">
        <v>148</v>
      </c>
      <c r="N141" s="14"/>
      <c r="O141" s="14"/>
      <c r="P141" s="14"/>
      <c r="Q141" s="14"/>
      <c r="R141" s="14"/>
      <c r="S141" s="14"/>
      <c r="T141" s="105">
        <v>22500</v>
      </c>
      <c r="U141" s="106">
        <f t="shared" si="7"/>
        <v>630000</v>
      </c>
      <c r="V141" s="107"/>
    </row>
    <row r="142" spans="1:22" ht="18">
      <c r="A142" s="14"/>
      <c r="B142" s="104"/>
      <c r="C142" s="14"/>
      <c r="D142" s="14"/>
      <c r="E142" s="16" t="s">
        <v>21</v>
      </c>
      <c r="F142" s="17" t="s">
        <v>22</v>
      </c>
      <c r="G142" s="17" t="s">
        <v>23</v>
      </c>
      <c r="H142" s="17" t="s">
        <v>24</v>
      </c>
      <c r="I142" s="16">
        <v>4</v>
      </c>
      <c r="J142" s="17" t="s">
        <v>25</v>
      </c>
      <c r="K142" s="17" t="s">
        <v>26</v>
      </c>
      <c r="L142" s="16">
        <v>7</v>
      </c>
      <c r="M142" s="17" t="s">
        <v>148</v>
      </c>
      <c r="N142" s="17" t="s">
        <v>26</v>
      </c>
      <c r="O142" s="16"/>
      <c r="P142" s="17"/>
      <c r="Q142" s="17"/>
      <c r="R142" s="16"/>
      <c r="S142" s="16"/>
      <c r="T142" s="105">
        <v>50000</v>
      </c>
      <c r="U142" s="106">
        <f t="shared" si="7"/>
        <v>1400000</v>
      </c>
      <c r="V142" s="107"/>
    </row>
    <row r="143" spans="1:22" ht="18">
      <c r="A143" s="14"/>
      <c r="B143" s="104"/>
      <c r="C143" s="14" t="s">
        <v>52</v>
      </c>
      <c r="D143" s="125" t="s">
        <v>149</v>
      </c>
      <c r="E143" s="14" t="s">
        <v>33</v>
      </c>
      <c r="F143" s="23" t="s">
        <v>37</v>
      </c>
      <c r="G143" s="14" t="s">
        <v>35</v>
      </c>
      <c r="H143" s="14" t="s">
        <v>24</v>
      </c>
      <c r="I143" s="14">
        <v>10</v>
      </c>
      <c r="J143" s="14" t="s">
        <v>25</v>
      </c>
      <c r="K143" s="14" t="s">
        <v>26</v>
      </c>
      <c r="L143" s="14">
        <v>1</v>
      </c>
      <c r="M143" s="14" t="s">
        <v>27</v>
      </c>
      <c r="N143" s="14"/>
      <c r="O143" s="14"/>
      <c r="P143" s="14"/>
      <c r="Q143" s="14"/>
      <c r="R143" s="14"/>
      <c r="S143" s="14"/>
      <c r="T143" s="105">
        <v>27500</v>
      </c>
      <c r="U143" s="106">
        <f t="shared" si="7"/>
        <v>275000</v>
      </c>
      <c r="V143" s="107"/>
    </row>
    <row r="144" spans="1:22" ht="18">
      <c r="A144" s="14"/>
      <c r="B144" s="104"/>
      <c r="C144" s="14"/>
      <c r="D144" s="14"/>
      <c r="E144" s="14" t="s">
        <v>33</v>
      </c>
      <c r="F144" s="23" t="s">
        <v>37</v>
      </c>
      <c r="G144" s="23" t="s">
        <v>38</v>
      </c>
      <c r="H144" s="14" t="s">
        <v>24</v>
      </c>
      <c r="I144" s="14">
        <v>10</v>
      </c>
      <c r="J144" s="14" t="s">
        <v>25</v>
      </c>
      <c r="K144" s="14" t="s">
        <v>26</v>
      </c>
      <c r="L144" s="14">
        <v>1</v>
      </c>
      <c r="M144" s="14" t="s">
        <v>27</v>
      </c>
      <c r="N144" s="14"/>
      <c r="O144" s="14"/>
      <c r="P144" s="14"/>
      <c r="Q144" s="14"/>
      <c r="R144" s="14"/>
      <c r="S144" s="14"/>
      <c r="T144" s="105">
        <v>17500</v>
      </c>
      <c r="U144" s="106">
        <f t="shared" si="7"/>
        <v>175000</v>
      </c>
      <c r="V144" s="107"/>
    </row>
    <row r="145" spans="1:22">
      <c r="A145" s="14"/>
      <c r="B145" s="104"/>
      <c r="C145" s="14"/>
      <c r="D145" s="14"/>
      <c r="E145" s="14" t="s">
        <v>40</v>
      </c>
      <c r="F145" s="14"/>
      <c r="G145" s="14" t="s">
        <v>71</v>
      </c>
      <c r="H145" s="14" t="s">
        <v>42</v>
      </c>
      <c r="I145" s="14">
        <v>4</v>
      </c>
      <c r="J145" s="14" t="s">
        <v>43</v>
      </c>
      <c r="K145" s="14" t="s">
        <v>26</v>
      </c>
      <c r="L145" s="14">
        <v>1</v>
      </c>
      <c r="M145" s="14" t="s">
        <v>27</v>
      </c>
      <c r="N145" s="14"/>
      <c r="O145" s="14"/>
      <c r="P145" s="14"/>
      <c r="Q145" s="14"/>
      <c r="R145" s="14"/>
      <c r="S145" s="14"/>
      <c r="T145" s="105">
        <v>22500</v>
      </c>
      <c r="U145" s="106">
        <f t="shared" si="7"/>
        <v>90000</v>
      </c>
      <c r="V145" s="107"/>
    </row>
    <row r="146" spans="1:22">
      <c r="A146" s="126">
        <v>4</v>
      </c>
      <c r="B146" s="127"/>
      <c r="C146" s="128" t="s">
        <v>150</v>
      </c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9"/>
      <c r="V146" s="130">
        <f>SUM(V147:V206)</f>
        <v>69946500</v>
      </c>
    </row>
    <row r="147" spans="1:22" ht="21" customHeight="1">
      <c r="A147" s="131"/>
      <c r="B147" s="80">
        <v>2</v>
      </c>
      <c r="C147" s="337" t="s">
        <v>151</v>
      </c>
      <c r="D147" s="338"/>
      <c r="E147" s="59"/>
      <c r="F147" s="132"/>
      <c r="G147" s="81"/>
      <c r="H147" s="133"/>
      <c r="I147" s="133"/>
      <c r="J147" s="133"/>
      <c r="K147" s="133"/>
      <c r="L147" s="133"/>
      <c r="M147" s="133"/>
      <c r="N147" s="133"/>
      <c r="O147" s="133"/>
      <c r="P147" s="133"/>
      <c r="Q147" s="134"/>
      <c r="R147" s="134"/>
      <c r="S147" s="134"/>
      <c r="T147" s="133"/>
      <c r="U147" s="133"/>
      <c r="V147" s="135">
        <f>SUM(U148:U151)</f>
        <v>2090200</v>
      </c>
    </row>
    <row r="148" spans="1:22" ht="19.5">
      <c r="A148" s="131"/>
      <c r="B148" s="80"/>
      <c r="C148" s="337" t="s">
        <v>152</v>
      </c>
      <c r="D148" s="338"/>
      <c r="E148" s="69" t="s">
        <v>33</v>
      </c>
      <c r="F148" s="136" t="s">
        <v>37</v>
      </c>
      <c r="G148" s="137" t="s">
        <v>35</v>
      </c>
      <c r="H148" s="138" t="s">
        <v>24</v>
      </c>
      <c r="I148" s="138">
        <v>15</v>
      </c>
      <c r="J148" s="138" t="s">
        <v>25</v>
      </c>
      <c r="K148" s="138" t="s">
        <v>26</v>
      </c>
      <c r="L148" s="138">
        <v>3</v>
      </c>
      <c r="M148" s="138" t="s">
        <v>27</v>
      </c>
      <c r="N148" s="138"/>
      <c r="O148" s="138"/>
      <c r="P148" s="138"/>
      <c r="Q148" s="138"/>
      <c r="R148" s="138"/>
      <c r="S148" s="138"/>
      <c r="T148" s="139">
        <v>27500</v>
      </c>
      <c r="U148" s="140">
        <f>I148*L148*T148</f>
        <v>1237500</v>
      </c>
      <c r="V148" s="141"/>
    </row>
    <row r="149" spans="1:22" ht="29.25">
      <c r="A149" s="131"/>
      <c r="B149" s="80"/>
      <c r="C149" s="142"/>
      <c r="D149" s="143"/>
      <c r="E149" s="69" t="s">
        <v>33</v>
      </c>
      <c r="F149" s="144" t="s">
        <v>37</v>
      </c>
      <c r="G149" s="145" t="s">
        <v>38</v>
      </c>
      <c r="H149" s="146" t="s">
        <v>24</v>
      </c>
      <c r="I149" s="146">
        <v>15</v>
      </c>
      <c r="J149" s="146" t="s">
        <v>25</v>
      </c>
      <c r="K149" s="146" t="s">
        <v>26</v>
      </c>
      <c r="L149" s="146">
        <v>3</v>
      </c>
      <c r="M149" s="146" t="s">
        <v>27</v>
      </c>
      <c r="N149" s="146"/>
      <c r="O149" s="146"/>
      <c r="P149" s="146"/>
      <c r="Q149" s="146"/>
      <c r="R149" s="146"/>
      <c r="S149" s="146"/>
      <c r="T149" s="147">
        <v>17500</v>
      </c>
      <c r="U149" s="148">
        <f>I149*L149*T149</f>
        <v>787500</v>
      </c>
      <c r="V149" s="141"/>
    </row>
    <row r="150" spans="1:22" ht="29.25">
      <c r="A150" s="149"/>
      <c r="B150" s="150"/>
      <c r="C150" s="151"/>
      <c r="D150" s="152"/>
      <c r="E150" s="153" t="s">
        <v>40</v>
      </c>
      <c r="F150" s="154" t="s">
        <v>93</v>
      </c>
      <c r="G150" s="155" t="s">
        <v>153</v>
      </c>
      <c r="H150" s="156" t="s">
        <v>154</v>
      </c>
      <c r="I150" s="156">
        <v>250</v>
      </c>
      <c r="J150" s="156" t="s">
        <v>155</v>
      </c>
      <c r="K150" s="156" t="s">
        <v>26</v>
      </c>
      <c r="L150" s="156">
        <v>1</v>
      </c>
      <c r="M150" s="156" t="s">
        <v>27</v>
      </c>
      <c r="N150" s="156"/>
      <c r="O150" s="156"/>
      <c r="P150" s="156"/>
      <c r="Q150" s="156"/>
      <c r="R150" s="156"/>
      <c r="S150" s="156"/>
      <c r="T150" s="157">
        <v>250</v>
      </c>
      <c r="U150" s="158">
        <f>I150*L150*T150</f>
        <v>62500</v>
      </c>
      <c r="V150" s="135"/>
    </row>
    <row r="151" spans="1:22" ht="29.25">
      <c r="A151" s="149"/>
      <c r="B151" s="150"/>
      <c r="C151" s="151"/>
      <c r="D151" s="152"/>
      <c r="E151" s="153" t="s">
        <v>40</v>
      </c>
      <c r="F151" s="154" t="s">
        <v>93</v>
      </c>
      <c r="G151" s="155" t="s">
        <v>156</v>
      </c>
      <c r="H151" s="156" t="s">
        <v>154</v>
      </c>
      <c r="I151" s="156">
        <v>9</v>
      </c>
      <c r="J151" s="156" t="s">
        <v>155</v>
      </c>
      <c r="K151" s="156" t="s">
        <v>26</v>
      </c>
      <c r="L151" s="156">
        <v>1</v>
      </c>
      <c r="M151" s="156" t="s">
        <v>27</v>
      </c>
      <c r="N151" s="156"/>
      <c r="O151" s="156"/>
      <c r="P151" s="156"/>
      <c r="Q151" s="156"/>
      <c r="R151" s="156"/>
      <c r="S151" s="156"/>
      <c r="T151" s="157">
        <v>300</v>
      </c>
      <c r="U151" s="158">
        <f>I151*L151*T151</f>
        <v>2700</v>
      </c>
      <c r="V151" s="135"/>
    </row>
    <row r="152" spans="1:22" ht="38.25" customHeight="1">
      <c r="A152" s="131"/>
      <c r="B152" s="80">
        <v>6</v>
      </c>
      <c r="C152" s="337" t="s">
        <v>157</v>
      </c>
      <c r="D152" s="338"/>
      <c r="E152" s="59"/>
      <c r="F152" s="159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0"/>
      <c r="R152" s="80"/>
      <c r="S152" s="80"/>
      <c r="T152" s="160"/>
      <c r="U152" s="160"/>
      <c r="V152" s="141">
        <f>U153</f>
        <v>100000</v>
      </c>
    </row>
    <row r="153" spans="1:22" ht="21.75" customHeight="1">
      <c r="A153" s="131"/>
      <c r="B153" s="80"/>
      <c r="C153" s="337" t="s">
        <v>158</v>
      </c>
      <c r="D153" s="338"/>
      <c r="E153" s="65" t="s">
        <v>21</v>
      </c>
      <c r="F153" s="161" t="s">
        <v>22</v>
      </c>
      <c r="G153" s="162" t="s">
        <v>159</v>
      </c>
      <c r="H153" s="162" t="s">
        <v>24</v>
      </c>
      <c r="I153" s="163">
        <v>1</v>
      </c>
      <c r="J153" s="162" t="s">
        <v>25</v>
      </c>
      <c r="K153" s="162" t="s">
        <v>26</v>
      </c>
      <c r="L153" s="163">
        <v>2</v>
      </c>
      <c r="M153" s="162" t="s">
        <v>27</v>
      </c>
      <c r="N153" s="162"/>
      <c r="O153" s="163"/>
      <c r="P153" s="162"/>
      <c r="Q153" s="162"/>
      <c r="R153" s="163"/>
      <c r="S153" s="163"/>
      <c r="T153" s="147">
        <v>50000</v>
      </c>
      <c r="U153" s="148">
        <f>I153*L153*T153</f>
        <v>100000</v>
      </c>
      <c r="V153" s="164"/>
    </row>
    <row r="154" spans="1:22" ht="29.25" customHeight="1">
      <c r="A154" s="131"/>
      <c r="B154" s="80">
        <v>7</v>
      </c>
      <c r="C154" s="337" t="s">
        <v>160</v>
      </c>
      <c r="D154" s="338"/>
      <c r="E154" s="65"/>
      <c r="F154" s="161"/>
      <c r="G154" s="162"/>
      <c r="H154" s="165"/>
      <c r="I154" s="166"/>
      <c r="J154" s="165"/>
      <c r="K154" s="165"/>
      <c r="L154" s="166"/>
      <c r="M154" s="165"/>
      <c r="N154" s="165"/>
      <c r="O154" s="166"/>
      <c r="P154" s="165"/>
      <c r="Q154" s="165"/>
      <c r="R154" s="166"/>
      <c r="S154" s="166"/>
      <c r="T154" s="139"/>
      <c r="U154" s="140"/>
      <c r="V154" s="167">
        <f>U155</f>
        <v>600000</v>
      </c>
    </row>
    <row r="155" spans="1:22" ht="29.25">
      <c r="A155" s="131"/>
      <c r="B155" s="80"/>
      <c r="C155" s="337" t="s">
        <v>161</v>
      </c>
      <c r="D155" s="338"/>
      <c r="E155" s="65" t="s">
        <v>21</v>
      </c>
      <c r="F155" s="161" t="s">
        <v>22</v>
      </c>
      <c r="G155" s="162" t="s">
        <v>159</v>
      </c>
      <c r="H155" s="165" t="s">
        <v>24</v>
      </c>
      <c r="I155" s="166">
        <v>2</v>
      </c>
      <c r="J155" s="165" t="s">
        <v>25</v>
      </c>
      <c r="K155" s="165" t="s">
        <v>26</v>
      </c>
      <c r="L155" s="166">
        <v>6</v>
      </c>
      <c r="M155" s="165" t="s">
        <v>162</v>
      </c>
      <c r="N155" s="165"/>
      <c r="O155" s="166"/>
      <c r="P155" s="165"/>
      <c r="Q155" s="165"/>
      <c r="R155" s="166"/>
      <c r="S155" s="166"/>
      <c r="T155" s="139">
        <v>50000</v>
      </c>
      <c r="U155" s="140">
        <f>I155*L155*T155</f>
        <v>600000</v>
      </c>
      <c r="V155" s="168"/>
    </row>
    <row r="156" spans="1:22">
      <c r="A156" s="131"/>
      <c r="B156" s="80">
        <v>9</v>
      </c>
      <c r="C156" s="356" t="s">
        <v>163</v>
      </c>
      <c r="D156" s="358"/>
      <c r="E156" s="169"/>
      <c r="F156" s="81"/>
      <c r="G156" s="81"/>
      <c r="H156" s="133"/>
      <c r="I156" s="133"/>
      <c r="J156" s="133"/>
      <c r="K156" s="133"/>
      <c r="L156" s="133"/>
      <c r="M156" s="133"/>
      <c r="N156" s="133"/>
      <c r="O156" s="133"/>
      <c r="P156" s="133"/>
      <c r="Q156" s="134"/>
      <c r="R156" s="134"/>
      <c r="S156" s="134"/>
      <c r="T156" s="170"/>
      <c r="U156" s="170"/>
      <c r="V156" s="167">
        <f>U157</f>
        <v>600000</v>
      </c>
    </row>
    <row r="157" spans="1:22" ht="21" customHeight="1">
      <c r="A157" s="131"/>
      <c r="B157" s="80"/>
      <c r="C157" s="337" t="s">
        <v>164</v>
      </c>
      <c r="D157" s="338"/>
      <c r="E157" s="65" t="s">
        <v>21</v>
      </c>
      <c r="F157" s="161" t="s">
        <v>22</v>
      </c>
      <c r="G157" s="162" t="s">
        <v>159</v>
      </c>
      <c r="H157" s="165" t="s">
        <v>24</v>
      </c>
      <c r="I157" s="166">
        <v>2</v>
      </c>
      <c r="J157" s="165" t="s">
        <v>25</v>
      </c>
      <c r="K157" s="165" t="s">
        <v>26</v>
      </c>
      <c r="L157" s="166">
        <v>6</v>
      </c>
      <c r="M157" s="165" t="s">
        <v>162</v>
      </c>
      <c r="N157" s="165"/>
      <c r="O157" s="166"/>
      <c r="P157" s="165"/>
      <c r="Q157" s="165"/>
      <c r="R157" s="166"/>
      <c r="S157" s="166"/>
      <c r="T157" s="139">
        <v>50000</v>
      </c>
      <c r="U157" s="140">
        <f>I157*L157*T157</f>
        <v>600000</v>
      </c>
      <c r="V157" s="168"/>
    </row>
    <row r="158" spans="1:22" ht="36.75" customHeight="1">
      <c r="A158" s="131"/>
      <c r="B158" s="80">
        <v>16</v>
      </c>
      <c r="C158" s="337" t="s">
        <v>165</v>
      </c>
      <c r="D158" s="338"/>
      <c r="E158" s="59"/>
      <c r="F158" s="132"/>
      <c r="G158" s="81"/>
      <c r="H158" s="133"/>
      <c r="I158" s="133"/>
      <c r="J158" s="133"/>
      <c r="K158" s="133"/>
      <c r="L158" s="133"/>
      <c r="M158" s="133"/>
      <c r="N158" s="133"/>
      <c r="O158" s="133"/>
      <c r="P158" s="133"/>
      <c r="Q158" s="134"/>
      <c r="R158" s="134"/>
      <c r="S158" s="134"/>
      <c r="T158" s="170"/>
      <c r="U158" s="170"/>
      <c r="V158" s="167">
        <f>SUM(U159:U162)</f>
        <v>4810000</v>
      </c>
    </row>
    <row r="159" spans="1:22" ht="19.5" customHeight="1">
      <c r="A159" s="131"/>
      <c r="B159" s="80"/>
      <c r="C159" s="337" t="s">
        <v>166</v>
      </c>
      <c r="D159" s="338"/>
      <c r="E159" s="69" t="s">
        <v>33</v>
      </c>
      <c r="F159" s="136" t="s">
        <v>37</v>
      </c>
      <c r="G159" s="137" t="s">
        <v>35</v>
      </c>
      <c r="H159" s="138" t="s">
        <v>24</v>
      </c>
      <c r="I159" s="138">
        <v>28</v>
      </c>
      <c r="J159" s="138" t="s">
        <v>25</v>
      </c>
      <c r="K159" s="138" t="s">
        <v>26</v>
      </c>
      <c r="L159" s="138">
        <v>2</v>
      </c>
      <c r="M159" s="138" t="s">
        <v>27</v>
      </c>
      <c r="N159" s="138"/>
      <c r="O159" s="138"/>
      <c r="P159" s="138"/>
      <c r="Q159" s="138"/>
      <c r="R159" s="138"/>
      <c r="S159" s="138"/>
      <c r="T159" s="139">
        <v>27500</v>
      </c>
      <c r="U159" s="140">
        <f>I159*L159*T159</f>
        <v>1540000</v>
      </c>
      <c r="V159" s="168"/>
    </row>
    <row r="160" spans="1:22" ht="20.25" customHeight="1">
      <c r="A160" s="131"/>
      <c r="B160" s="80"/>
      <c r="C160" s="142"/>
      <c r="D160" s="143"/>
      <c r="E160" s="69" t="s">
        <v>33</v>
      </c>
      <c r="F160" s="144" t="s">
        <v>37</v>
      </c>
      <c r="G160" s="145" t="s">
        <v>38</v>
      </c>
      <c r="H160" s="146" t="s">
        <v>24</v>
      </c>
      <c r="I160" s="146">
        <v>28</v>
      </c>
      <c r="J160" s="146" t="s">
        <v>25</v>
      </c>
      <c r="K160" s="146" t="s">
        <v>26</v>
      </c>
      <c r="L160" s="146">
        <v>2</v>
      </c>
      <c r="M160" s="146" t="s">
        <v>27</v>
      </c>
      <c r="N160" s="146"/>
      <c r="O160" s="146"/>
      <c r="P160" s="146"/>
      <c r="Q160" s="146"/>
      <c r="R160" s="146"/>
      <c r="S160" s="146"/>
      <c r="T160" s="147">
        <v>17500</v>
      </c>
      <c r="U160" s="148">
        <f>I160*L160*T160</f>
        <v>980000</v>
      </c>
      <c r="V160" s="171"/>
    </row>
    <row r="161" spans="1:22" ht="35.25" customHeight="1">
      <c r="A161" s="149"/>
      <c r="B161" s="150"/>
      <c r="C161" s="151"/>
      <c r="D161" s="152"/>
      <c r="E161" s="153" t="s">
        <v>40</v>
      </c>
      <c r="F161" s="154" t="s">
        <v>93</v>
      </c>
      <c r="G161" s="155" t="s">
        <v>153</v>
      </c>
      <c r="H161" s="156" t="s">
        <v>154</v>
      </c>
      <c r="I161" s="156">
        <v>360</v>
      </c>
      <c r="J161" s="156" t="s">
        <v>155</v>
      </c>
      <c r="K161" s="156" t="s">
        <v>26</v>
      </c>
      <c r="L161" s="156">
        <v>1</v>
      </c>
      <c r="M161" s="156" t="s">
        <v>27</v>
      </c>
      <c r="N161" s="156"/>
      <c r="O161" s="156"/>
      <c r="P161" s="156"/>
      <c r="Q161" s="156"/>
      <c r="R161" s="156"/>
      <c r="S161" s="156"/>
      <c r="T161" s="157">
        <v>250</v>
      </c>
      <c r="U161" s="158">
        <f>I161*L161*T161</f>
        <v>90000</v>
      </c>
      <c r="V161" s="172"/>
    </row>
    <row r="162" spans="1:22" ht="26.25" customHeight="1">
      <c r="A162" s="131"/>
      <c r="B162" s="80"/>
      <c r="C162" s="142"/>
      <c r="D162" s="159"/>
      <c r="E162" s="173" t="s">
        <v>72</v>
      </c>
      <c r="F162" s="174" t="s">
        <v>112</v>
      </c>
      <c r="G162" s="174" t="s">
        <v>167</v>
      </c>
      <c r="H162" s="146" t="s">
        <v>24</v>
      </c>
      <c r="I162" s="146">
        <v>22</v>
      </c>
      <c r="J162" s="146" t="s">
        <v>25</v>
      </c>
      <c r="K162" s="146" t="s">
        <v>26</v>
      </c>
      <c r="L162" s="146">
        <v>2</v>
      </c>
      <c r="M162" s="146" t="s">
        <v>27</v>
      </c>
      <c r="N162" s="146"/>
      <c r="O162" s="146"/>
      <c r="P162" s="146"/>
      <c r="Q162" s="146"/>
      <c r="R162" s="146"/>
      <c r="S162" s="146"/>
      <c r="T162" s="147">
        <v>50000</v>
      </c>
      <c r="U162" s="148">
        <f>I162*L162*T162</f>
        <v>2200000</v>
      </c>
      <c r="V162" s="171"/>
    </row>
    <row r="163" spans="1:22" ht="45.75" customHeight="1">
      <c r="A163" s="131"/>
      <c r="B163" s="80">
        <v>17</v>
      </c>
      <c r="C163" s="337" t="s">
        <v>168</v>
      </c>
      <c r="D163" s="338"/>
      <c r="E163" s="59"/>
      <c r="F163" s="175"/>
      <c r="G163" s="59"/>
      <c r="H163" s="132"/>
      <c r="I163" s="133"/>
      <c r="J163" s="133"/>
      <c r="K163" s="133"/>
      <c r="L163" s="133"/>
      <c r="M163" s="133"/>
      <c r="N163" s="133"/>
      <c r="O163" s="133"/>
      <c r="P163" s="133"/>
      <c r="Q163" s="134"/>
      <c r="R163" s="134"/>
      <c r="S163" s="134"/>
      <c r="T163" s="170"/>
      <c r="U163" s="170"/>
      <c r="V163" s="167">
        <f>U164</f>
        <v>600000</v>
      </c>
    </row>
    <row r="164" spans="1:22" ht="18" customHeight="1">
      <c r="A164" s="131"/>
      <c r="B164" s="80"/>
      <c r="C164" s="337" t="s">
        <v>169</v>
      </c>
      <c r="D164" s="339"/>
      <c r="E164" s="176" t="s">
        <v>21</v>
      </c>
      <c r="F164" s="165" t="s">
        <v>22</v>
      </c>
      <c r="G164" s="165" t="s">
        <v>23</v>
      </c>
      <c r="H164" s="165" t="s">
        <v>24</v>
      </c>
      <c r="I164" s="166">
        <v>1</v>
      </c>
      <c r="J164" s="165" t="s">
        <v>25</v>
      </c>
      <c r="K164" s="165" t="s">
        <v>26</v>
      </c>
      <c r="L164" s="166">
        <v>1</v>
      </c>
      <c r="M164" s="165" t="s">
        <v>27</v>
      </c>
      <c r="N164" s="165" t="s">
        <v>26</v>
      </c>
      <c r="O164" s="166">
        <v>12</v>
      </c>
      <c r="P164" s="165" t="s">
        <v>30</v>
      </c>
      <c r="Q164" s="165"/>
      <c r="R164" s="166"/>
      <c r="S164" s="166"/>
      <c r="T164" s="139">
        <v>50000</v>
      </c>
      <c r="U164" s="140">
        <f>I164*L164*T164*O164</f>
        <v>600000</v>
      </c>
      <c r="V164" s="168"/>
    </row>
    <row r="165" spans="1:22" ht="38.25" customHeight="1">
      <c r="A165" s="131"/>
      <c r="B165" s="80">
        <v>19</v>
      </c>
      <c r="C165" s="337" t="s">
        <v>170</v>
      </c>
      <c r="D165" s="338"/>
      <c r="E165" s="59"/>
      <c r="F165" s="159"/>
      <c r="G165" s="81"/>
      <c r="H165" s="133"/>
      <c r="I165" s="133"/>
      <c r="J165" s="133"/>
      <c r="K165" s="133"/>
      <c r="L165" s="133"/>
      <c r="M165" s="133"/>
      <c r="N165" s="133"/>
      <c r="O165" s="133"/>
      <c r="P165" s="133"/>
      <c r="Q165" s="134"/>
      <c r="R165" s="134"/>
      <c r="S165" s="134"/>
      <c r="T165" s="170"/>
      <c r="U165" s="170"/>
      <c r="V165" s="177">
        <f>U166</f>
        <v>1200000</v>
      </c>
    </row>
    <row r="166" spans="1:22" ht="19.5">
      <c r="A166" s="131"/>
      <c r="B166" s="80"/>
      <c r="C166" s="337" t="s">
        <v>171</v>
      </c>
      <c r="D166" s="338"/>
      <c r="E166" s="65" t="s">
        <v>21</v>
      </c>
      <c r="F166" s="161" t="s">
        <v>22</v>
      </c>
      <c r="G166" s="162" t="s">
        <v>23</v>
      </c>
      <c r="H166" s="165" t="s">
        <v>24</v>
      </c>
      <c r="I166" s="166">
        <v>2</v>
      </c>
      <c r="J166" s="165" t="s">
        <v>25</v>
      </c>
      <c r="K166" s="165" t="s">
        <v>26</v>
      </c>
      <c r="L166" s="166">
        <v>1</v>
      </c>
      <c r="M166" s="165" t="s">
        <v>27</v>
      </c>
      <c r="N166" s="165" t="s">
        <v>26</v>
      </c>
      <c r="O166" s="166">
        <v>12</v>
      </c>
      <c r="P166" s="165" t="s">
        <v>30</v>
      </c>
      <c r="Q166" s="165"/>
      <c r="R166" s="166"/>
      <c r="S166" s="166"/>
      <c r="T166" s="139">
        <v>50000</v>
      </c>
      <c r="U166" s="140">
        <f>I166*L166*T166*O166</f>
        <v>1200000</v>
      </c>
      <c r="V166" s="168"/>
    </row>
    <row r="167" spans="1:22" ht="47.25" customHeight="1">
      <c r="A167" s="131"/>
      <c r="B167" s="80">
        <v>22</v>
      </c>
      <c r="C167" s="337" t="s">
        <v>172</v>
      </c>
      <c r="D167" s="338"/>
      <c r="E167" s="59"/>
      <c r="F167" s="159"/>
      <c r="G167" s="81"/>
      <c r="H167" s="133"/>
      <c r="I167" s="133"/>
      <c r="J167" s="133"/>
      <c r="K167" s="133"/>
      <c r="L167" s="133"/>
      <c r="M167" s="133"/>
      <c r="N167" s="133"/>
      <c r="O167" s="133"/>
      <c r="P167" s="133"/>
      <c r="Q167" s="134"/>
      <c r="R167" s="134"/>
      <c r="S167" s="134"/>
      <c r="T167" s="170"/>
      <c r="U167" s="170"/>
      <c r="V167" s="178">
        <f>SUM(U168:U171)</f>
        <v>6900000</v>
      </c>
    </row>
    <row r="168" spans="1:22" ht="18.75" customHeight="1">
      <c r="A168" s="293"/>
      <c r="B168" s="294"/>
      <c r="C168" s="359" t="s">
        <v>234</v>
      </c>
      <c r="D168" s="360"/>
      <c r="E168" s="277" t="s">
        <v>21</v>
      </c>
      <c r="F168" s="295" t="s">
        <v>22</v>
      </c>
      <c r="G168" s="296" t="s">
        <v>23</v>
      </c>
      <c r="H168" s="297" t="s">
        <v>24</v>
      </c>
      <c r="I168" s="298">
        <v>2</v>
      </c>
      <c r="J168" s="297" t="s">
        <v>25</v>
      </c>
      <c r="K168" s="297" t="s">
        <v>26</v>
      </c>
      <c r="L168" s="298">
        <v>32</v>
      </c>
      <c r="M168" s="297" t="s">
        <v>54</v>
      </c>
      <c r="N168" s="297" t="s">
        <v>26</v>
      </c>
      <c r="O168" s="298">
        <v>1</v>
      </c>
      <c r="P168" s="297" t="s">
        <v>30</v>
      </c>
      <c r="Q168" s="297"/>
      <c r="R168" s="298"/>
      <c r="S168" s="298"/>
      <c r="T168" s="299">
        <v>50000</v>
      </c>
      <c r="U168" s="300">
        <f>I168*L168*T168*O168</f>
        <v>3200000</v>
      </c>
      <c r="V168" s="301"/>
    </row>
    <row r="169" spans="1:22" ht="18.75" customHeight="1">
      <c r="A169" s="293"/>
      <c r="B169" s="294"/>
      <c r="C169" s="359" t="s">
        <v>235</v>
      </c>
      <c r="D169" s="360"/>
      <c r="E169" s="277" t="s">
        <v>21</v>
      </c>
      <c r="F169" s="295" t="s">
        <v>22</v>
      </c>
      <c r="G169" s="296" t="s">
        <v>23</v>
      </c>
      <c r="H169" s="297" t="s">
        <v>24</v>
      </c>
      <c r="I169" s="298">
        <v>1</v>
      </c>
      <c r="J169" s="297" t="s">
        <v>25</v>
      </c>
      <c r="K169" s="297" t="s">
        <v>26</v>
      </c>
      <c r="L169" s="298">
        <v>2</v>
      </c>
      <c r="M169" s="297" t="s">
        <v>27</v>
      </c>
      <c r="N169" s="297" t="s">
        <v>26</v>
      </c>
      <c r="O169" s="298">
        <v>5</v>
      </c>
      <c r="P169" s="297" t="s">
        <v>30</v>
      </c>
      <c r="Q169" s="297"/>
      <c r="R169" s="298"/>
      <c r="S169" s="298"/>
      <c r="T169" s="299">
        <v>50000</v>
      </c>
      <c r="U169" s="300">
        <f>I169*L169*T169*O169</f>
        <v>500000</v>
      </c>
      <c r="V169" s="301"/>
    </row>
    <row r="170" spans="1:22" ht="19.5">
      <c r="A170" s="131"/>
      <c r="B170" s="80"/>
      <c r="C170" s="361" t="s">
        <v>236</v>
      </c>
      <c r="D170" s="362"/>
      <c r="E170" s="65" t="s">
        <v>21</v>
      </c>
      <c r="F170" s="162" t="s">
        <v>22</v>
      </c>
      <c r="G170" s="162" t="s">
        <v>23</v>
      </c>
      <c r="H170" s="162" t="s">
        <v>24</v>
      </c>
      <c r="I170" s="133">
        <v>1</v>
      </c>
      <c r="J170" s="133" t="s">
        <v>25</v>
      </c>
      <c r="K170" s="133" t="s">
        <v>26</v>
      </c>
      <c r="L170" s="133">
        <v>4</v>
      </c>
      <c r="M170" s="133" t="s">
        <v>27</v>
      </c>
      <c r="N170" s="133"/>
      <c r="O170" s="133"/>
      <c r="P170" s="133"/>
      <c r="Q170" s="134"/>
      <c r="R170" s="134"/>
      <c r="S170" s="134"/>
      <c r="T170" s="170">
        <v>50000</v>
      </c>
      <c r="U170" s="170">
        <f>I170*L170*T170</f>
        <v>200000</v>
      </c>
      <c r="V170" s="167"/>
    </row>
    <row r="171" spans="1:22" ht="19.5">
      <c r="A171" s="131"/>
      <c r="B171" s="80"/>
      <c r="C171" s="337" t="s">
        <v>173</v>
      </c>
      <c r="D171" s="338"/>
      <c r="E171" s="65" t="s">
        <v>21</v>
      </c>
      <c r="F171" s="162" t="s">
        <v>22</v>
      </c>
      <c r="G171" s="162" t="s">
        <v>23</v>
      </c>
      <c r="H171" s="165" t="s">
        <v>24</v>
      </c>
      <c r="I171" s="166">
        <v>1</v>
      </c>
      <c r="J171" s="165" t="s">
        <v>25</v>
      </c>
      <c r="K171" s="165" t="s">
        <v>26</v>
      </c>
      <c r="L171" s="166">
        <v>5</v>
      </c>
      <c r="M171" s="165" t="s">
        <v>54</v>
      </c>
      <c r="N171" s="165" t="s">
        <v>26</v>
      </c>
      <c r="O171" s="166">
        <v>12</v>
      </c>
      <c r="P171" s="165" t="s">
        <v>30</v>
      </c>
      <c r="Q171" s="165"/>
      <c r="R171" s="166"/>
      <c r="S171" s="166"/>
      <c r="T171" s="139">
        <v>50000</v>
      </c>
      <c r="U171" s="140">
        <f>I171*L171*T171*O171</f>
        <v>3000000</v>
      </c>
      <c r="V171" s="168"/>
    </row>
    <row r="172" spans="1:22" ht="29.25" customHeight="1">
      <c r="A172" s="131"/>
      <c r="B172" s="80">
        <v>23</v>
      </c>
      <c r="C172" s="337" t="s">
        <v>174</v>
      </c>
      <c r="D172" s="338"/>
      <c r="E172" s="65"/>
      <c r="F172" s="162"/>
      <c r="G172" s="162"/>
      <c r="H172" s="165"/>
      <c r="I172" s="166"/>
      <c r="J172" s="165"/>
      <c r="K172" s="165"/>
      <c r="L172" s="166"/>
      <c r="M172" s="165"/>
      <c r="N172" s="165"/>
      <c r="O172" s="166"/>
      <c r="P172" s="165"/>
      <c r="Q172" s="165"/>
      <c r="R172" s="166"/>
      <c r="S172" s="166"/>
      <c r="T172" s="139"/>
      <c r="U172" s="140"/>
      <c r="V172" s="168">
        <f>SUM(U173:U174)</f>
        <v>5400000</v>
      </c>
    </row>
    <row r="173" spans="1:22" ht="19.5">
      <c r="A173" s="131"/>
      <c r="B173" s="80"/>
      <c r="C173" s="350" t="s">
        <v>175</v>
      </c>
      <c r="D173" s="351"/>
      <c r="E173" s="65" t="s">
        <v>21</v>
      </c>
      <c r="F173" s="162" t="s">
        <v>22</v>
      </c>
      <c r="G173" s="162" t="s">
        <v>23</v>
      </c>
      <c r="H173" s="165" t="s">
        <v>24</v>
      </c>
      <c r="I173" s="166">
        <v>2</v>
      </c>
      <c r="J173" s="165" t="s">
        <v>25</v>
      </c>
      <c r="K173" s="165" t="s">
        <v>26</v>
      </c>
      <c r="L173" s="166">
        <v>18</v>
      </c>
      <c r="M173" s="165" t="s">
        <v>148</v>
      </c>
      <c r="N173" s="165" t="s">
        <v>26</v>
      </c>
      <c r="O173" s="166">
        <v>2</v>
      </c>
      <c r="P173" s="165" t="s">
        <v>30</v>
      </c>
      <c r="Q173" s="165"/>
      <c r="R173" s="166"/>
      <c r="S173" s="166"/>
      <c r="T173" s="139">
        <v>50000</v>
      </c>
      <c r="U173" s="140">
        <f>I173*L173*T173*O173</f>
        <v>3600000</v>
      </c>
      <c r="V173" s="168"/>
    </row>
    <row r="174" spans="1:22" ht="19.5">
      <c r="A174" s="131"/>
      <c r="B174" s="80"/>
      <c r="C174" s="179" t="s">
        <v>176</v>
      </c>
      <c r="D174" s="143"/>
      <c r="E174" s="180" t="s">
        <v>21</v>
      </c>
      <c r="F174" s="181" t="s">
        <v>22</v>
      </c>
      <c r="G174" s="162" t="s">
        <v>23</v>
      </c>
      <c r="H174" s="162" t="s">
        <v>24</v>
      </c>
      <c r="I174" s="163">
        <v>2</v>
      </c>
      <c r="J174" s="162" t="s">
        <v>25</v>
      </c>
      <c r="K174" s="162" t="s">
        <v>26</v>
      </c>
      <c r="L174" s="163">
        <v>18</v>
      </c>
      <c r="M174" s="162" t="s">
        <v>148</v>
      </c>
      <c r="N174" s="162"/>
      <c r="O174" s="163"/>
      <c r="P174" s="162"/>
      <c r="Q174" s="162"/>
      <c r="R174" s="163"/>
      <c r="S174" s="163"/>
      <c r="T174" s="147">
        <v>50000</v>
      </c>
      <c r="U174" s="148">
        <f>I174*L174*T174</f>
        <v>1800000</v>
      </c>
      <c r="V174" s="171"/>
    </row>
    <row r="175" spans="1:22" ht="19.5" customHeight="1">
      <c r="A175" s="131"/>
      <c r="B175" s="80">
        <v>24</v>
      </c>
      <c r="C175" s="337" t="s">
        <v>177</v>
      </c>
      <c r="D175" s="338"/>
      <c r="E175" s="65"/>
      <c r="F175" s="182"/>
      <c r="G175" s="159"/>
      <c r="H175" s="133"/>
      <c r="I175" s="133"/>
      <c r="J175" s="133"/>
      <c r="K175" s="133"/>
      <c r="L175" s="133"/>
      <c r="M175" s="133"/>
      <c r="N175" s="133"/>
      <c r="O175" s="133"/>
      <c r="P175" s="133"/>
      <c r="Q175" s="134"/>
      <c r="R175" s="134"/>
      <c r="S175" s="134"/>
      <c r="T175" s="170"/>
      <c r="U175" s="170"/>
      <c r="V175" s="167">
        <f>U176</f>
        <v>1800000</v>
      </c>
    </row>
    <row r="176" spans="1:22" ht="19.5">
      <c r="A176" s="131"/>
      <c r="B176" s="80"/>
      <c r="C176" s="337" t="s">
        <v>178</v>
      </c>
      <c r="D176" s="338"/>
      <c r="E176" s="65" t="s">
        <v>21</v>
      </c>
      <c r="F176" s="161" t="s">
        <v>22</v>
      </c>
      <c r="G176" s="162" t="s">
        <v>23</v>
      </c>
      <c r="H176" s="165" t="s">
        <v>24</v>
      </c>
      <c r="I176" s="166">
        <v>1</v>
      </c>
      <c r="J176" s="165" t="s">
        <v>25</v>
      </c>
      <c r="K176" s="165" t="s">
        <v>26</v>
      </c>
      <c r="L176" s="166">
        <v>18</v>
      </c>
      <c r="M176" s="165" t="s">
        <v>148</v>
      </c>
      <c r="N176" s="165" t="s">
        <v>26</v>
      </c>
      <c r="O176" s="166">
        <v>2</v>
      </c>
      <c r="P176" s="165" t="s">
        <v>30</v>
      </c>
      <c r="Q176" s="165"/>
      <c r="R176" s="166"/>
      <c r="S176" s="166"/>
      <c r="T176" s="139">
        <v>50000</v>
      </c>
      <c r="U176" s="140">
        <f>I176*L176*T176*O176</f>
        <v>1800000</v>
      </c>
      <c r="V176" s="168"/>
    </row>
    <row r="177" spans="1:22">
      <c r="A177" s="131"/>
      <c r="B177" s="80">
        <v>27</v>
      </c>
      <c r="C177" s="337" t="s">
        <v>179</v>
      </c>
      <c r="D177" s="339"/>
      <c r="E177" s="81"/>
      <c r="F177" s="133"/>
      <c r="G177" s="81"/>
      <c r="H177" s="133"/>
      <c r="I177" s="133"/>
      <c r="J177" s="133"/>
      <c r="K177" s="133"/>
      <c r="L177" s="133"/>
      <c r="M177" s="133"/>
      <c r="N177" s="133"/>
      <c r="O177" s="133"/>
      <c r="P177" s="133"/>
      <c r="Q177" s="134"/>
      <c r="R177" s="134"/>
      <c r="S177" s="134"/>
      <c r="T177" s="170"/>
      <c r="U177" s="170"/>
      <c r="V177" s="167">
        <f>SUM(U178:U180)</f>
        <v>1260000</v>
      </c>
    </row>
    <row r="178" spans="1:22" ht="19.5">
      <c r="A178" s="131"/>
      <c r="B178" s="80"/>
      <c r="C178" s="337" t="s">
        <v>180</v>
      </c>
      <c r="D178" s="339"/>
      <c r="E178" s="137" t="s">
        <v>33</v>
      </c>
      <c r="F178" s="183" t="s">
        <v>37</v>
      </c>
      <c r="G178" s="137" t="s">
        <v>35</v>
      </c>
      <c r="H178" s="138" t="s">
        <v>24</v>
      </c>
      <c r="I178" s="138">
        <v>13</v>
      </c>
      <c r="J178" s="138" t="s">
        <v>25</v>
      </c>
      <c r="K178" s="138" t="s">
        <v>26</v>
      </c>
      <c r="L178" s="138">
        <v>2</v>
      </c>
      <c r="M178" s="138" t="s">
        <v>27</v>
      </c>
      <c r="N178" s="138"/>
      <c r="O178" s="138"/>
      <c r="P178" s="138"/>
      <c r="Q178" s="138"/>
      <c r="R178" s="138"/>
      <c r="S178" s="138"/>
      <c r="T178" s="139">
        <v>27500</v>
      </c>
      <c r="U178" s="140">
        <f>I178*L178*T178</f>
        <v>715000</v>
      </c>
      <c r="V178" s="168"/>
    </row>
    <row r="179" spans="1:22" ht="29.25">
      <c r="A179" s="131"/>
      <c r="B179" s="80"/>
      <c r="C179" s="142"/>
      <c r="D179" s="159"/>
      <c r="E179" s="137" t="s">
        <v>33</v>
      </c>
      <c r="F179" s="174" t="s">
        <v>37</v>
      </c>
      <c r="G179" s="145" t="s">
        <v>38</v>
      </c>
      <c r="H179" s="146" t="s">
        <v>24</v>
      </c>
      <c r="I179" s="146">
        <v>13</v>
      </c>
      <c r="J179" s="146" t="s">
        <v>25</v>
      </c>
      <c r="K179" s="146" t="s">
        <v>26</v>
      </c>
      <c r="L179" s="146">
        <v>2</v>
      </c>
      <c r="M179" s="146" t="s">
        <v>27</v>
      </c>
      <c r="N179" s="146"/>
      <c r="O179" s="146"/>
      <c r="P179" s="146"/>
      <c r="Q179" s="146"/>
      <c r="R179" s="146"/>
      <c r="S179" s="146"/>
      <c r="T179" s="147">
        <v>17500</v>
      </c>
      <c r="U179" s="148">
        <f>I179*L179*T179</f>
        <v>455000</v>
      </c>
      <c r="V179" s="171"/>
    </row>
    <row r="180" spans="1:22" ht="29.25">
      <c r="A180" s="149"/>
      <c r="B180" s="150"/>
      <c r="C180" s="151"/>
      <c r="D180" s="184"/>
      <c r="E180" s="185" t="s">
        <v>40</v>
      </c>
      <c r="F180" s="154" t="s">
        <v>93</v>
      </c>
      <c r="G180" s="156" t="s">
        <v>153</v>
      </c>
      <c r="H180" s="156" t="s">
        <v>154</v>
      </c>
      <c r="I180" s="156">
        <v>360</v>
      </c>
      <c r="J180" s="156" t="s">
        <v>155</v>
      </c>
      <c r="K180" s="156" t="s">
        <v>26</v>
      </c>
      <c r="L180" s="156">
        <v>1</v>
      </c>
      <c r="M180" s="156" t="s">
        <v>27</v>
      </c>
      <c r="N180" s="156"/>
      <c r="O180" s="156"/>
      <c r="P180" s="156"/>
      <c r="Q180" s="156"/>
      <c r="R180" s="156"/>
      <c r="S180" s="156"/>
      <c r="T180" s="157">
        <v>250</v>
      </c>
      <c r="U180" s="158">
        <f>I180*L180*T180</f>
        <v>90000</v>
      </c>
      <c r="V180" s="172"/>
    </row>
    <row r="181" spans="1:22" ht="20.25" customHeight="1">
      <c r="A181" s="131"/>
      <c r="B181" s="186">
        <v>28</v>
      </c>
      <c r="C181" s="352" t="s">
        <v>181</v>
      </c>
      <c r="D181" s="353"/>
      <c r="E181" s="59"/>
      <c r="F181" s="159"/>
      <c r="G181" s="187"/>
      <c r="H181" s="169"/>
      <c r="I181" s="169"/>
      <c r="J181" s="169"/>
      <c r="K181" s="169"/>
      <c r="L181" s="169"/>
      <c r="M181" s="169"/>
      <c r="N181" s="169"/>
      <c r="O181" s="169"/>
      <c r="P181" s="169"/>
      <c r="Q181" s="188"/>
      <c r="R181" s="188"/>
      <c r="S181" s="188"/>
      <c r="T181" s="189"/>
      <c r="U181" s="189"/>
      <c r="V181" s="190">
        <f>U182</f>
        <v>200000</v>
      </c>
    </row>
    <row r="182" spans="1:22" ht="19.5">
      <c r="A182" s="131"/>
      <c r="B182" s="80"/>
      <c r="C182" s="354" t="s">
        <v>182</v>
      </c>
      <c r="D182" s="355"/>
      <c r="E182" s="191" t="s">
        <v>21</v>
      </c>
      <c r="F182" s="161" t="s">
        <v>22</v>
      </c>
      <c r="G182" s="181" t="s">
        <v>159</v>
      </c>
      <c r="H182" s="192" t="s">
        <v>24</v>
      </c>
      <c r="I182" s="193">
        <v>2</v>
      </c>
      <c r="J182" s="192" t="s">
        <v>25</v>
      </c>
      <c r="K182" s="192" t="s">
        <v>26</v>
      </c>
      <c r="L182" s="193">
        <v>2</v>
      </c>
      <c r="M182" s="192" t="s">
        <v>27</v>
      </c>
      <c r="N182" s="192"/>
      <c r="O182" s="193"/>
      <c r="P182" s="192"/>
      <c r="Q182" s="192"/>
      <c r="R182" s="193"/>
      <c r="S182" s="193"/>
      <c r="T182" s="194">
        <v>50000</v>
      </c>
      <c r="U182" s="195">
        <f>I182*L182*T182</f>
        <v>200000</v>
      </c>
      <c r="V182" s="196"/>
    </row>
    <row r="183" spans="1:22">
      <c r="A183" s="131"/>
      <c r="B183" s="80">
        <v>31</v>
      </c>
      <c r="C183" s="356" t="s">
        <v>183</v>
      </c>
      <c r="D183" s="357"/>
      <c r="E183" s="59"/>
      <c r="F183" s="159"/>
      <c r="G183" s="187"/>
      <c r="H183" s="133"/>
      <c r="I183" s="133"/>
      <c r="J183" s="133"/>
      <c r="K183" s="133"/>
      <c r="L183" s="133"/>
      <c r="M183" s="133"/>
      <c r="N183" s="133"/>
      <c r="O183" s="133"/>
      <c r="P183" s="133"/>
      <c r="Q183" s="134"/>
      <c r="R183" s="134"/>
      <c r="S183" s="134"/>
      <c r="T183" s="170"/>
      <c r="U183" s="170"/>
      <c r="V183" s="177">
        <f>U184</f>
        <v>19200000</v>
      </c>
    </row>
    <row r="184" spans="1:22" ht="19.5">
      <c r="A184" s="131"/>
      <c r="B184" s="80"/>
      <c r="C184" s="337" t="s">
        <v>184</v>
      </c>
      <c r="D184" s="338"/>
      <c r="E184" s="65" t="s">
        <v>21</v>
      </c>
      <c r="F184" s="161" t="s">
        <v>22</v>
      </c>
      <c r="G184" s="181" t="s">
        <v>159</v>
      </c>
      <c r="H184" s="165" t="s">
        <v>24</v>
      </c>
      <c r="I184" s="166">
        <v>12</v>
      </c>
      <c r="J184" s="165" t="s">
        <v>25</v>
      </c>
      <c r="K184" s="165" t="s">
        <v>26</v>
      </c>
      <c r="L184" s="166">
        <v>8</v>
      </c>
      <c r="M184" s="165" t="s">
        <v>27</v>
      </c>
      <c r="N184" s="165" t="s">
        <v>26</v>
      </c>
      <c r="O184" s="166">
        <v>4</v>
      </c>
      <c r="P184" s="165" t="s">
        <v>30</v>
      </c>
      <c r="Q184" s="165"/>
      <c r="R184" s="166"/>
      <c r="S184" s="166"/>
      <c r="T184" s="139">
        <v>50000</v>
      </c>
      <c r="U184" s="140">
        <f>I184*L184*T184*O184</f>
        <v>19200000</v>
      </c>
      <c r="V184" s="168"/>
    </row>
    <row r="185" spans="1:22" ht="37.5" customHeight="1">
      <c r="A185" s="131"/>
      <c r="B185" s="80">
        <v>39</v>
      </c>
      <c r="C185" s="337" t="s">
        <v>185</v>
      </c>
      <c r="D185" s="338"/>
      <c r="E185" s="59"/>
      <c r="F185" s="159"/>
      <c r="G185" s="81"/>
      <c r="H185" s="133"/>
      <c r="I185" s="133"/>
      <c r="J185" s="133"/>
      <c r="K185" s="133"/>
      <c r="L185" s="133"/>
      <c r="M185" s="133"/>
      <c r="N185" s="133"/>
      <c r="O185" s="133"/>
      <c r="P185" s="133"/>
      <c r="Q185" s="134"/>
      <c r="R185" s="134"/>
      <c r="S185" s="134"/>
      <c r="T185" s="170"/>
      <c r="U185" s="170"/>
      <c r="V185" s="167">
        <f>U186</f>
        <v>550000</v>
      </c>
    </row>
    <row r="186" spans="1:22" ht="28.5" customHeight="1">
      <c r="A186" s="131"/>
      <c r="B186" s="80"/>
      <c r="C186" s="337" t="s">
        <v>186</v>
      </c>
      <c r="D186" s="338"/>
      <c r="E186" s="65" t="s">
        <v>21</v>
      </c>
      <c r="F186" s="161" t="s">
        <v>22</v>
      </c>
      <c r="G186" s="162" t="s">
        <v>159</v>
      </c>
      <c r="H186" s="165" t="s">
        <v>24</v>
      </c>
      <c r="I186" s="166">
        <v>1</v>
      </c>
      <c r="J186" s="165" t="s">
        <v>25</v>
      </c>
      <c r="K186" s="165" t="s">
        <v>26</v>
      </c>
      <c r="L186" s="166">
        <v>11</v>
      </c>
      <c r="M186" s="165" t="s">
        <v>98</v>
      </c>
      <c r="N186" s="165"/>
      <c r="O186" s="166"/>
      <c r="P186" s="165"/>
      <c r="Q186" s="165"/>
      <c r="R186" s="166"/>
      <c r="S186" s="166"/>
      <c r="T186" s="139">
        <v>50000</v>
      </c>
      <c r="U186" s="140">
        <f>I186*L186*T186</f>
        <v>550000</v>
      </c>
      <c r="V186" s="168"/>
    </row>
    <row r="187" spans="1:22" ht="19.5" customHeight="1">
      <c r="A187" s="131"/>
      <c r="B187" s="80">
        <v>46</v>
      </c>
      <c r="C187" s="337" t="s">
        <v>187</v>
      </c>
      <c r="D187" s="338"/>
      <c r="E187" s="59"/>
      <c r="F187" s="159"/>
      <c r="G187" s="81"/>
      <c r="H187" s="133"/>
      <c r="I187" s="133"/>
      <c r="J187" s="133"/>
      <c r="K187" s="133"/>
      <c r="L187" s="133"/>
      <c r="M187" s="133"/>
      <c r="N187" s="133"/>
      <c r="O187" s="133"/>
      <c r="P187" s="133"/>
      <c r="Q187" s="134"/>
      <c r="R187" s="134"/>
      <c r="S187" s="134"/>
      <c r="T187" s="170"/>
      <c r="U187" s="170"/>
      <c r="V187" s="167">
        <f>U188</f>
        <v>1000000</v>
      </c>
    </row>
    <row r="188" spans="1:22" ht="19.5" customHeight="1">
      <c r="A188" s="131"/>
      <c r="B188" s="80"/>
      <c r="C188" s="337" t="s">
        <v>188</v>
      </c>
      <c r="D188" s="338"/>
      <c r="E188" s="65" t="s">
        <v>21</v>
      </c>
      <c r="F188" s="161" t="s">
        <v>22</v>
      </c>
      <c r="G188" s="162" t="s">
        <v>159</v>
      </c>
      <c r="H188" s="165" t="s">
        <v>24</v>
      </c>
      <c r="I188" s="166">
        <v>2</v>
      </c>
      <c r="J188" s="165" t="s">
        <v>25</v>
      </c>
      <c r="K188" s="165" t="s">
        <v>26</v>
      </c>
      <c r="L188" s="166">
        <v>10</v>
      </c>
      <c r="M188" s="165" t="s">
        <v>162</v>
      </c>
      <c r="N188" s="165"/>
      <c r="O188" s="166"/>
      <c r="P188" s="165"/>
      <c r="Q188" s="165"/>
      <c r="R188" s="166"/>
      <c r="S188" s="166"/>
      <c r="T188" s="139">
        <v>50000</v>
      </c>
      <c r="U188" s="140">
        <f>I188*L188*T188</f>
        <v>1000000</v>
      </c>
      <c r="V188" s="168"/>
    </row>
    <row r="189" spans="1:22" ht="29.25" customHeight="1">
      <c r="A189" s="131"/>
      <c r="B189" s="80">
        <v>48</v>
      </c>
      <c r="C189" s="337" t="s">
        <v>189</v>
      </c>
      <c r="D189" s="339"/>
      <c r="E189" s="133"/>
      <c r="F189" s="133"/>
      <c r="G189" s="81"/>
      <c r="H189" s="133"/>
      <c r="I189" s="133"/>
      <c r="J189" s="133"/>
      <c r="K189" s="133"/>
      <c r="L189" s="133"/>
      <c r="M189" s="133"/>
      <c r="N189" s="133"/>
      <c r="O189" s="133"/>
      <c r="P189" s="133"/>
      <c r="Q189" s="134"/>
      <c r="R189" s="134"/>
      <c r="S189" s="134"/>
      <c r="T189" s="170"/>
      <c r="U189" s="170"/>
      <c r="V189" s="177">
        <f>SUM(U190:U197)</f>
        <v>14845000</v>
      </c>
    </row>
    <row r="190" spans="1:22" ht="19.5" customHeight="1">
      <c r="A190" s="131"/>
      <c r="B190" s="80"/>
      <c r="C190" s="337" t="s">
        <v>190</v>
      </c>
      <c r="D190" s="339"/>
      <c r="E190" s="137" t="s">
        <v>33</v>
      </c>
      <c r="F190" s="183" t="s">
        <v>37</v>
      </c>
      <c r="G190" s="137" t="s">
        <v>35</v>
      </c>
      <c r="H190" s="138" t="s">
        <v>24</v>
      </c>
      <c r="I190" s="138">
        <v>39</v>
      </c>
      <c r="J190" s="138" t="s">
        <v>25</v>
      </c>
      <c r="K190" s="138" t="s">
        <v>26</v>
      </c>
      <c r="L190" s="138">
        <v>3</v>
      </c>
      <c r="M190" s="138" t="s">
        <v>27</v>
      </c>
      <c r="N190" s="138"/>
      <c r="O190" s="138"/>
      <c r="P190" s="138"/>
      <c r="Q190" s="138"/>
      <c r="R190" s="138"/>
      <c r="S190" s="138"/>
      <c r="T190" s="139">
        <v>27500</v>
      </c>
      <c r="U190" s="140">
        <f t="shared" ref="U190:U197" si="8">I190*L190*T190</f>
        <v>3217500</v>
      </c>
      <c r="V190" s="168"/>
    </row>
    <row r="191" spans="1:22" ht="19.5" customHeight="1">
      <c r="A191" s="131"/>
      <c r="B191" s="80"/>
      <c r="C191" s="142"/>
      <c r="D191" s="159"/>
      <c r="E191" s="137" t="s">
        <v>33</v>
      </c>
      <c r="F191" s="174" t="s">
        <v>37</v>
      </c>
      <c r="G191" s="145" t="s">
        <v>38</v>
      </c>
      <c r="H191" s="146" t="s">
        <v>24</v>
      </c>
      <c r="I191" s="146">
        <v>39</v>
      </c>
      <c r="J191" s="146" t="s">
        <v>25</v>
      </c>
      <c r="K191" s="146" t="s">
        <v>26</v>
      </c>
      <c r="L191" s="146">
        <v>3</v>
      </c>
      <c r="M191" s="146" t="s">
        <v>27</v>
      </c>
      <c r="N191" s="146"/>
      <c r="O191" s="146"/>
      <c r="P191" s="146"/>
      <c r="Q191" s="146"/>
      <c r="R191" s="146"/>
      <c r="S191" s="146"/>
      <c r="T191" s="147">
        <v>17500</v>
      </c>
      <c r="U191" s="148">
        <f t="shared" si="8"/>
        <v>2047500</v>
      </c>
      <c r="V191" s="171"/>
    </row>
    <row r="192" spans="1:22" ht="29.25">
      <c r="A192" s="131"/>
      <c r="B192" s="80"/>
      <c r="C192" s="142"/>
      <c r="D192" s="159"/>
      <c r="E192" s="137" t="s">
        <v>40</v>
      </c>
      <c r="F192" s="75" t="s">
        <v>93</v>
      </c>
      <c r="G192" s="146" t="s">
        <v>191</v>
      </c>
      <c r="H192" s="146" t="s">
        <v>42</v>
      </c>
      <c r="I192" s="146">
        <v>4</v>
      </c>
      <c r="J192" s="146" t="s">
        <v>43</v>
      </c>
      <c r="K192" s="146" t="s">
        <v>26</v>
      </c>
      <c r="L192" s="146">
        <v>1</v>
      </c>
      <c r="M192" s="146" t="s">
        <v>27</v>
      </c>
      <c r="N192" s="146"/>
      <c r="O192" s="146"/>
      <c r="P192" s="146"/>
      <c r="Q192" s="146"/>
      <c r="R192" s="146"/>
      <c r="S192" s="146"/>
      <c r="T192" s="147">
        <v>22500</v>
      </c>
      <c r="U192" s="148">
        <f t="shared" si="8"/>
        <v>90000</v>
      </c>
      <c r="V192" s="171"/>
    </row>
    <row r="193" spans="1:22" ht="19.5">
      <c r="A193" s="131"/>
      <c r="B193" s="80"/>
      <c r="C193" s="197"/>
      <c r="D193" s="198"/>
      <c r="E193" s="199" t="s">
        <v>72</v>
      </c>
      <c r="F193" s="174" t="s">
        <v>112</v>
      </c>
      <c r="G193" s="174" t="s">
        <v>96</v>
      </c>
      <c r="H193" s="146" t="s">
        <v>24</v>
      </c>
      <c r="I193" s="146">
        <v>33</v>
      </c>
      <c r="J193" s="146" t="s">
        <v>25</v>
      </c>
      <c r="K193" s="146" t="s">
        <v>26</v>
      </c>
      <c r="L193" s="146">
        <v>3</v>
      </c>
      <c r="M193" s="146" t="s">
        <v>27</v>
      </c>
      <c r="N193" s="146"/>
      <c r="O193" s="146"/>
      <c r="P193" s="146"/>
      <c r="Q193" s="146"/>
      <c r="R193" s="146"/>
      <c r="S193" s="146"/>
      <c r="T193" s="147">
        <v>50000</v>
      </c>
      <c r="U193" s="148">
        <f t="shared" si="8"/>
        <v>4950000</v>
      </c>
      <c r="V193" s="171"/>
    </row>
    <row r="194" spans="1:22" ht="19.5">
      <c r="A194" s="311"/>
      <c r="B194" s="312"/>
      <c r="C194" s="340" t="s">
        <v>192</v>
      </c>
      <c r="D194" s="341"/>
      <c r="E194" s="199" t="s">
        <v>33</v>
      </c>
      <c r="F194" s="162" t="s">
        <v>37</v>
      </c>
      <c r="G194" s="313" t="s">
        <v>35</v>
      </c>
      <c r="H194" s="163" t="s">
        <v>24</v>
      </c>
      <c r="I194" s="163">
        <v>25</v>
      </c>
      <c r="J194" s="163" t="s">
        <v>25</v>
      </c>
      <c r="K194" s="163" t="s">
        <v>26</v>
      </c>
      <c r="L194" s="163">
        <v>2</v>
      </c>
      <c r="M194" s="163" t="s">
        <v>27</v>
      </c>
      <c r="N194" s="163"/>
      <c r="O194" s="163"/>
      <c r="P194" s="163"/>
      <c r="Q194" s="163"/>
      <c r="R194" s="163"/>
      <c r="S194" s="163"/>
      <c r="T194" s="147">
        <v>27500</v>
      </c>
      <c r="U194" s="148">
        <f t="shared" si="8"/>
        <v>1375000</v>
      </c>
      <c r="V194" s="314"/>
    </row>
    <row r="195" spans="1:22" ht="29.25">
      <c r="A195" s="311"/>
      <c r="B195" s="315"/>
      <c r="C195" s="316"/>
      <c r="D195" s="317"/>
      <c r="E195" s="313" t="s">
        <v>33</v>
      </c>
      <c r="F195" s="162" t="s">
        <v>37</v>
      </c>
      <c r="G195" s="318" t="s">
        <v>38</v>
      </c>
      <c r="H195" s="163" t="s">
        <v>24</v>
      </c>
      <c r="I195" s="163">
        <v>25</v>
      </c>
      <c r="J195" s="163" t="s">
        <v>25</v>
      </c>
      <c r="K195" s="163" t="s">
        <v>26</v>
      </c>
      <c r="L195" s="163">
        <v>2</v>
      </c>
      <c r="M195" s="163" t="s">
        <v>27</v>
      </c>
      <c r="N195" s="163"/>
      <c r="O195" s="163"/>
      <c r="P195" s="163"/>
      <c r="Q195" s="163"/>
      <c r="R195" s="163"/>
      <c r="S195" s="163"/>
      <c r="T195" s="147">
        <v>17500</v>
      </c>
      <c r="U195" s="148">
        <f t="shared" si="8"/>
        <v>875000</v>
      </c>
      <c r="V195" s="314"/>
    </row>
    <row r="196" spans="1:22" ht="29.25">
      <c r="A196" s="311"/>
      <c r="B196" s="315"/>
      <c r="C196" s="319"/>
      <c r="D196" s="320"/>
      <c r="E196" s="313" t="s">
        <v>40</v>
      </c>
      <c r="F196" s="75" t="s">
        <v>93</v>
      </c>
      <c r="G196" s="163" t="s">
        <v>191</v>
      </c>
      <c r="H196" s="163" t="s">
        <v>42</v>
      </c>
      <c r="I196" s="163">
        <v>4</v>
      </c>
      <c r="J196" s="163" t="s">
        <v>43</v>
      </c>
      <c r="K196" s="163" t="s">
        <v>26</v>
      </c>
      <c r="L196" s="163">
        <v>1</v>
      </c>
      <c r="M196" s="163" t="s">
        <v>27</v>
      </c>
      <c r="N196" s="163"/>
      <c r="O196" s="163"/>
      <c r="P196" s="163"/>
      <c r="Q196" s="163"/>
      <c r="R196" s="163"/>
      <c r="S196" s="163"/>
      <c r="T196" s="147">
        <v>22500</v>
      </c>
      <c r="U196" s="148">
        <f t="shared" si="8"/>
        <v>90000</v>
      </c>
      <c r="V196" s="314"/>
    </row>
    <row r="197" spans="1:22" ht="19.5">
      <c r="A197" s="311"/>
      <c r="B197" s="315"/>
      <c r="C197" s="319"/>
      <c r="D197" s="320"/>
      <c r="E197" s="199" t="s">
        <v>72</v>
      </c>
      <c r="F197" s="162" t="s">
        <v>112</v>
      </c>
      <c r="G197" s="162" t="s">
        <v>96</v>
      </c>
      <c r="H197" s="163" t="s">
        <v>24</v>
      </c>
      <c r="I197" s="163">
        <v>22</v>
      </c>
      <c r="J197" s="163" t="s">
        <v>25</v>
      </c>
      <c r="K197" s="163" t="s">
        <v>26</v>
      </c>
      <c r="L197" s="163">
        <v>2</v>
      </c>
      <c r="M197" s="163" t="s">
        <v>27</v>
      </c>
      <c r="N197" s="163"/>
      <c r="O197" s="163"/>
      <c r="P197" s="163"/>
      <c r="Q197" s="163"/>
      <c r="R197" s="163"/>
      <c r="S197" s="163"/>
      <c r="T197" s="147">
        <v>50000</v>
      </c>
      <c r="U197" s="148">
        <f t="shared" si="8"/>
        <v>2200000</v>
      </c>
      <c r="V197" s="314"/>
    </row>
    <row r="198" spans="1:22">
      <c r="A198" s="131"/>
      <c r="B198" s="80">
        <v>49</v>
      </c>
      <c r="C198" s="337" t="s">
        <v>193</v>
      </c>
      <c r="D198" s="339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0"/>
      <c r="R198" s="80"/>
      <c r="S198" s="80"/>
      <c r="T198" s="160"/>
      <c r="U198" s="160"/>
      <c r="V198" s="202">
        <f>SUM(U199:U205)</f>
        <v>7261300</v>
      </c>
    </row>
    <row r="199" spans="1:22" ht="19.5">
      <c r="A199" s="131"/>
      <c r="B199" s="80"/>
      <c r="C199" s="337" t="s">
        <v>193</v>
      </c>
      <c r="D199" s="339"/>
      <c r="E199" s="137" t="s">
        <v>33</v>
      </c>
      <c r="F199" s="174" t="s">
        <v>37</v>
      </c>
      <c r="G199" s="137" t="s">
        <v>35</v>
      </c>
      <c r="H199" s="66" t="s">
        <v>24</v>
      </c>
      <c r="I199" s="66">
        <v>73</v>
      </c>
      <c r="J199" s="66" t="s">
        <v>25</v>
      </c>
      <c r="K199" s="66" t="s">
        <v>26</v>
      </c>
      <c r="L199" s="66">
        <v>1</v>
      </c>
      <c r="M199" s="66" t="s">
        <v>27</v>
      </c>
      <c r="N199" s="66"/>
      <c r="O199" s="66"/>
      <c r="P199" s="66"/>
      <c r="Q199" s="66"/>
      <c r="R199" s="66"/>
      <c r="S199" s="66"/>
      <c r="T199" s="203">
        <v>27500</v>
      </c>
      <c r="U199" s="204">
        <f t="shared" ref="U199:U205" si="9">I199*L199*T199</f>
        <v>2007500</v>
      </c>
      <c r="V199" s="205"/>
    </row>
    <row r="200" spans="1:22" ht="29.25">
      <c r="A200" s="131"/>
      <c r="B200" s="80"/>
      <c r="C200" s="142"/>
      <c r="D200" s="159"/>
      <c r="E200" s="137" t="s">
        <v>33</v>
      </c>
      <c r="F200" s="174" t="s">
        <v>37</v>
      </c>
      <c r="G200" s="145" t="s">
        <v>38</v>
      </c>
      <c r="H200" s="138" t="s">
        <v>24</v>
      </c>
      <c r="I200" s="138">
        <v>73</v>
      </c>
      <c r="J200" s="138" t="s">
        <v>25</v>
      </c>
      <c r="K200" s="138" t="s">
        <v>26</v>
      </c>
      <c r="L200" s="138">
        <v>1</v>
      </c>
      <c r="M200" s="138" t="s">
        <v>27</v>
      </c>
      <c r="N200" s="138"/>
      <c r="O200" s="138"/>
      <c r="P200" s="138"/>
      <c r="Q200" s="138"/>
      <c r="R200" s="138"/>
      <c r="S200" s="138"/>
      <c r="T200" s="139">
        <v>17500</v>
      </c>
      <c r="U200" s="140">
        <f t="shared" si="9"/>
        <v>1277500</v>
      </c>
      <c r="V200" s="168"/>
    </row>
    <row r="201" spans="1:22" ht="29.25">
      <c r="A201" s="131"/>
      <c r="B201" s="80"/>
      <c r="C201" s="142"/>
      <c r="D201" s="159"/>
      <c r="E201" s="137" t="s">
        <v>40</v>
      </c>
      <c r="F201" s="75" t="s">
        <v>93</v>
      </c>
      <c r="G201" s="146" t="s">
        <v>191</v>
      </c>
      <c r="H201" s="146" t="s">
        <v>42</v>
      </c>
      <c r="I201" s="146">
        <v>4</v>
      </c>
      <c r="J201" s="146" t="s">
        <v>43</v>
      </c>
      <c r="K201" s="146" t="s">
        <v>26</v>
      </c>
      <c r="L201" s="146">
        <v>1</v>
      </c>
      <c r="M201" s="146" t="s">
        <v>27</v>
      </c>
      <c r="N201" s="146"/>
      <c r="O201" s="146"/>
      <c r="P201" s="146"/>
      <c r="Q201" s="146"/>
      <c r="R201" s="146"/>
      <c r="S201" s="146"/>
      <c r="T201" s="147">
        <v>22500</v>
      </c>
      <c r="U201" s="148">
        <f t="shared" si="9"/>
        <v>90000</v>
      </c>
      <c r="V201" s="171"/>
    </row>
    <row r="202" spans="1:22" ht="19.5">
      <c r="A202" s="131"/>
      <c r="B202" s="80"/>
      <c r="C202" s="142"/>
      <c r="D202" s="159"/>
      <c r="E202" s="199" t="s">
        <v>72</v>
      </c>
      <c r="F202" s="174" t="s">
        <v>112</v>
      </c>
      <c r="G202" s="174" t="s">
        <v>96</v>
      </c>
      <c r="H202" s="146" t="s">
        <v>24</v>
      </c>
      <c r="I202" s="146">
        <v>68</v>
      </c>
      <c r="J202" s="146" t="s">
        <v>25</v>
      </c>
      <c r="K202" s="146" t="s">
        <v>26</v>
      </c>
      <c r="L202" s="146">
        <v>1</v>
      </c>
      <c r="M202" s="146" t="s">
        <v>27</v>
      </c>
      <c r="N202" s="146"/>
      <c r="O202" s="146"/>
      <c r="P202" s="146"/>
      <c r="Q202" s="146"/>
      <c r="R202" s="146"/>
      <c r="S202" s="146"/>
      <c r="T202" s="147">
        <v>50000</v>
      </c>
      <c r="U202" s="148">
        <f t="shared" si="9"/>
        <v>3400000</v>
      </c>
      <c r="V202" s="171"/>
    </row>
    <row r="203" spans="1:22" ht="29.25">
      <c r="A203" s="149"/>
      <c r="B203" s="150"/>
      <c r="C203" s="151"/>
      <c r="D203" s="184"/>
      <c r="E203" s="206" t="s">
        <v>194</v>
      </c>
      <c r="F203" s="154" t="s">
        <v>195</v>
      </c>
      <c r="G203" s="207" t="s">
        <v>196</v>
      </c>
      <c r="H203" s="207" t="s">
        <v>197</v>
      </c>
      <c r="I203" s="207">
        <v>2</v>
      </c>
      <c r="J203" s="207" t="s">
        <v>197</v>
      </c>
      <c r="K203" s="207" t="s">
        <v>26</v>
      </c>
      <c r="L203" s="207">
        <v>1</v>
      </c>
      <c r="M203" s="207" t="s">
        <v>27</v>
      </c>
      <c r="N203" s="207"/>
      <c r="O203" s="207"/>
      <c r="P203" s="207"/>
      <c r="Q203" s="207"/>
      <c r="R203" s="207"/>
      <c r="S203" s="207"/>
      <c r="T203" s="157">
        <v>54650</v>
      </c>
      <c r="U203" s="157">
        <f>I203*L203*T203</f>
        <v>109300</v>
      </c>
      <c r="V203" s="172"/>
    </row>
    <row r="204" spans="1:22" ht="29.25">
      <c r="A204" s="149"/>
      <c r="B204" s="150"/>
      <c r="C204" s="151"/>
      <c r="D204" s="184"/>
      <c r="E204" s="206" t="s">
        <v>194</v>
      </c>
      <c r="F204" s="154" t="s">
        <v>195</v>
      </c>
      <c r="G204" s="207" t="s">
        <v>198</v>
      </c>
      <c r="H204" s="207" t="s">
        <v>199</v>
      </c>
      <c r="I204" s="207"/>
      <c r="J204" s="207" t="s">
        <v>199</v>
      </c>
      <c r="K204" s="207" t="s">
        <v>26</v>
      </c>
      <c r="L204" s="207"/>
      <c r="M204" s="207" t="s">
        <v>27</v>
      </c>
      <c r="N204" s="207"/>
      <c r="O204" s="207"/>
      <c r="P204" s="207"/>
      <c r="Q204" s="207"/>
      <c r="R204" s="207"/>
      <c r="S204" s="207"/>
      <c r="T204" s="157"/>
      <c r="U204" s="157">
        <f t="shared" si="9"/>
        <v>0</v>
      </c>
      <c r="V204" s="208"/>
    </row>
    <row r="205" spans="1:22" ht="29.25">
      <c r="A205" s="131"/>
      <c r="B205" s="80"/>
      <c r="C205" s="142"/>
      <c r="D205" s="159"/>
      <c r="E205" s="145" t="s">
        <v>194</v>
      </c>
      <c r="F205" s="75" t="s">
        <v>195</v>
      </c>
      <c r="G205" s="174" t="s">
        <v>200</v>
      </c>
      <c r="H205" s="174" t="s">
        <v>154</v>
      </c>
      <c r="I205" s="174">
        <v>1508</v>
      </c>
      <c r="J205" s="174" t="s">
        <v>155</v>
      </c>
      <c r="K205" s="174" t="s">
        <v>26</v>
      </c>
      <c r="L205" s="174">
        <v>1</v>
      </c>
      <c r="M205" s="174" t="s">
        <v>27</v>
      </c>
      <c r="N205" s="174"/>
      <c r="O205" s="174"/>
      <c r="P205" s="174"/>
      <c r="Q205" s="174"/>
      <c r="R205" s="174"/>
      <c r="S205" s="174"/>
      <c r="T205" s="160">
        <v>250</v>
      </c>
      <c r="U205" s="160">
        <f t="shared" si="9"/>
        <v>377000</v>
      </c>
      <c r="V205" s="209"/>
    </row>
    <row r="206" spans="1:22" ht="31.5" customHeight="1">
      <c r="A206" s="131"/>
      <c r="B206" s="80">
        <v>51</v>
      </c>
      <c r="C206" s="337" t="s">
        <v>201</v>
      </c>
      <c r="D206" s="339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0"/>
      <c r="R206" s="80"/>
      <c r="S206" s="80"/>
      <c r="T206" s="160"/>
      <c r="U206" s="160"/>
      <c r="V206" s="141">
        <f>SUM(U207:U212)</f>
        <v>1530000</v>
      </c>
    </row>
    <row r="207" spans="1:22" ht="19.5">
      <c r="A207" s="149"/>
      <c r="B207" s="150"/>
      <c r="C207" s="342" t="s">
        <v>202</v>
      </c>
      <c r="D207" s="343"/>
      <c r="E207" s="185" t="s">
        <v>33</v>
      </c>
      <c r="F207" s="207" t="s">
        <v>37</v>
      </c>
      <c r="G207" s="185" t="s">
        <v>35</v>
      </c>
      <c r="H207" s="156" t="s">
        <v>24</v>
      </c>
      <c r="I207" s="156">
        <v>10</v>
      </c>
      <c r="J207" s="156" t="s">
        <v>25</v>
      </c>
      <c r="K207" s="156" t="s">
        <v>26</v>
      </c>
      <c r="L207" s="156">
        <v>1</v>
      </c>
      <c r="M207" s="156" t="s">
        <v>27</v>
      </c>
      <c r="N207" s="156"/>
      <c r="O207" s="156"/>
      <c r="P207" s="156"/>
      <c r="Q207" s="156"/>
      <c r="R207" s="156"/>
      <c r="S207" s="156"/>
      <c r="T207" s="157">
        <v>27500</v>
      </c>
      <c r="U207" s="158">
        <f t="shared" ref="U207:U212" si="10">I207*L207*T207</f>
        <v>275000</v>
      </c>
      <c r="V207" s="172"/>
    </row>
    <row r="208" spans="1:22" ht="29.25">
      <c r="A208" s="131"/>
      <c r="B208" s="80"/>
      <c r="C208" s="142"/>
      <c r="D208" s="159"/>
      <c r="E208" s="137" t="s">
        <v>33</v>
      </c>
      <c r="F208" s="174" t="s">
        <v>37</v>
      </c>
      <c r="G208" s="145" t="s">
        <v>38</v>
      </c>
      <c r="H208" s="146" t="s">
        <v>24</v>
      </c>
      <c r="I208" s="146">
        <v>10</v>
      </c>
      <c r="J208" s="146" t="s">
        <v>25</v>
      </c>
      <c r="K208" s="146" t="s">
        <v>26</v>
      </c>
      <c r="L208" s="146">
        <v>1</v>
      </c>
      <c r="M208" s="146" t="s">
        <v>27</v>
      </c>
      <c r="N208" s="146"/>
      <c r="O208" s="146"/>
      <c r="P208" s="146"/>
      <c r="Q208" s="146"/>
      <c r="R208" s="146"/>
      <c r="S208" s="146"/>
      <c r="T208" s="147">
        <v>17500</v>
      </c>
      <c r="U208" s="148">
        <f t="shared" si="10"/>
        <v>175000</v>
      </c>
      <c r="V208" s="171"/>
    </row>
    <row r="209" spans="1:22" ht="29.25">
      <c r="A209" s="149"/>
      <c r="B209" s="150"/>
      <c r="C209" s="210"/>
      <c r="D209" s="211"/>
      <c r="E209" s="185" t="s">
        <v>40</v>
      </c>
      <c r="F209" s="154" t="s">
        <v>93</v>
      </c>
      <c r="G209" s="156" t="s">
        <v>153</v>
      </c>
      <c r="H209" s="156" t="s">
        <v>154</v>
      </c>
      <c r="I209" s="156">
        <v>360</v>
      </c>
      <c r="J209" s="156" t="s">
        <v>43</v>
      </c>
      <c r="K209" s="156" t="s">
        <v>26</v>
      </c>
      <c r="L209" s="156">
        <v>1</v>
      </c>
      <c r="M209" s="156" t="s">
        <v>27</v>
      </c>
      <c r="N209" s="156"/>
      <c r="O209" s="156"/>
      <c r="P209" s="156"/>
      <c r="Q209" s="156"/>
      <c r="R209" s="156"/>
      <c r="S209" s="156"/>
      <c r="T209" s="157">
        <v>250</v>
      </c>
      <c r="U209" s="158">
        <f t="shared" si="10"/>
        <v>90000</v>
      </c>
      <c r="V209" s="172"/>
    </row>
    <row r="210" spans="1:22" ht="19.5">
      <c r="A210" s="131"/>
      <c r="B210" s="186"/>
      <c r="C210" s="344" t="s">
        <v>203</v>
      </c>
      <c r="D210" s="345"/>
      <c r="E210" s="200" t="s">
        <v>33</v>
      </c>
      <c r="F210" s="174" t="s">
        <v>37</v>
      </c>
      <c r="G210" s="137" t="s">
        <v>35</v>
      </c>
      <c r="H210" s="146" t="s">
        <v>24</v>
      </c>
      <c r="I210" s="146">
        <v>10</v>
      </c>
      <c r="J210" s="146" t="s">
        <v>25</v>
      </c>
      <c r="K210" s="146" t="s">
        <v>26</v>
      </c>
      <c r="L210" s="146">
        <v>2</v>
      </c>
      <c r="M210" s="146" t="s">
        <v>27</v>
      </c>
      <c r="N210" s="146"/>
      <c r="O210" s="146"/>
      <c r="P210" s="146"/>
      <c r="Q210" s="146"/>
      <c r="R210" s="146"/>
      <c r="S210" s="146"/>
      <c r="T210" s="147">
        <v>27500</v>
      </c>
      <c r="U210" s="148">
        <f t="shared" si="10"/>
        <v>550000</v>
      </c>
      <c r="V210" s="171"/>
    </row>
    <row r="211" spans="1:22" ht="29.25">
      <c r="A211" s="131"/>
      <c r="B211" s="80"/>
      <c r="C211" s="201"/>
      <c r="D211" s="132"/>
      <c r="E211" s="137" t="s">
        <v>33</v>
      </c>
      <c r="F211" s="174" t="s">
        <v>37</v>
      </c>
      <c r="G211" s="145" t="s">
        <v>38</v>
      </c>
      <c r="H211" s="146" t="s">
        <v>24</v>
      </c>
      <c r="I211" s="146">
        <v>10</v>
      </c>
      <c r="J211" s="146" t="s">
        <v>25</v>
      </c>
      <c r="K211" s="146" t="s">
        <v>26</v>
      </c>
      <c r="L211" s="146">
        <v>2</v>
      </c>
      <c r="M211" s="146" t="s">
        <v>27</v>
      </c>
      <c r="N211" s="146"/>
      <c r="O211" s="146"/>
      <c r="P211" s="146"/>
      <c r="Q211" s="146"/>
      <c r="R211" s="146"/>
      <c r="S211" s="146"/>
      <c r="T211" s="147">
        <v>17500</v>
      </c>
      <c r="U211" s="148">
        <f t="shared" si="10"/>
        <v>350000</v>
      </c>
      <c r="V211" s="171"/>
    </row>
    <row r="212" spans="1:22" ht="29.25">
      <c r="A212" s="149"/>
      <c r="B212" s="150"/>
      <c r="C212" s="151"/>
      <c r="D212" s="184"/>
      <c r="E212" s="185" t="s">
        <v>40</v>
      </c>
      <c r="F212" s="154" t="s">
        <v>93</v>
      </c>
      <c r="G212" s="156" t="s">
        <v>153</v>
      </c>
      <c r="H212" s="156" t="s">
        <v>154</v>
      </c>
      <c r="I212" s="156">
        <v>360</v>
      </c>
      <c r="J212" s="156" t="s">
        <v>43</v>
      </c>
      <c r="K212" s="156" t="s">
        <v>26</v>
      </c>
      <c r="L212" s="156">
        <v>1</v>
      </c>
      <c r="M212" s="156" t="s">
        <v>27</v>
      </c>
      <c r="N212" s="156"/>
      <c r="O212" s="156"/>
      <c r="P212" s="156"/>
      <c r="Q212" s="156"/>
      <c r="R212" s="156"/>
      <c r="S212" s="156"/>
      <c r="T212" s="157">
        <v>250</v>
      </c>
      <c r="U212" s="158">
        <f t="shared" si="10"/>
        <v>90000</v>
      </c>
      <c r="V212" s="172"/>
    </row>
    <row r="213" spans="1:22">
      <c r="A213" s="212">
        <v>5</v>
      </c>
      <c r="B213" s="127"/>
      <c r="C213" s="128" t="s">
        <v>204</v>
      </c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9"/>
      <c r="V213" s="130">
        <f>V214</f>
        <v>52848000</v>
      </c>
    </row>
    <row r="214" spans="1:22" ht="19.5">
      <c r="A214" s="213"/>
      <c r="B214" s="214"/>
      <c r="C214" s="346" t="s">
        <v>205</v>
      </c>
      <c r="D214" s="347"/>
      <c r="E214" s="215" t="s">
        <v>206</v>
      </c>
      <c r="F214" s="215" t="s">
        <v>207</v>
      </c>
      <c r="G214" s="216" t="s">
        <v>208</v>
      </c>
      <c r="H214" s="215" t="s">
        <v>209</v>
      </c>
      <c r="I214" s="217">
        <v>1</v>
      </c>
      <c r="J214" s="215" t="s">
        <v>210</v>
      </c>
      <c r="K214" s="215" t="s">
        <v>26</v>
      </c>
      <c r="L214" s="217"/>
      <c r="M214" s="215"/>
      <c r="N214" s="215" t="s">
        <v>26</v>
      </c>
      <c r="O214" s="218">
        <v>12</v>
      </c>
      <c r="P214" s="215" t="s">
        <v>30</v>
      </c>
      <c r="Q214" s="215"/>
      <c r="R214" s="215"/>
      <c r="S214" s="215"/>
      <c r="T214" s="219">
        <v>1101000</v>
      </c>
      <c r="U214" s="220">
        <f>T214*O214</f>
        <v>13212000</v>
      </c>
      <c r="V214" s="221">
        <f>SUM(U214:U217)</f>
        <v>52848000</v>
      </c>
    </row>
    <row r="215" spans="1:22">
      <c r="A215" s="213"/>
      <c r="B215" s="214"/>
      <c r="C215" s="214"/>
      <c r="D215" s="222"/>
      <c r="E215" s="215"/>
      <c r="F215" s="215"/>
      <c r="G215" s="216" t="s">
        <v>211</v>
      </c>
      <c r="H215" s="215" t="s">
        <v>209</v>
      </c>
      <c r="I215" s="217">
        <v>1</v>
      </c>
      <c r="J215" s="215" t="s">
        <v>210</v>
      </c>
      <c r="K215" s="215" t="s">
        <v>26</v>
      </c>
      <c r="L215" s="217"/>
      <c r="M215" s="215"/>
      <c r="N215" s="215" t="s">
        <v>26</v>
      </c>
      <c r="O215" s="218">
        <v>12</v>
      </c>
      <c r="P215" s="215" t="s">
        <v>30</v>
      </c>
      <c r="Q215" s="215"/>
      <c r="R215" s="215"/>
      <c r="S215" s="215"/>
      <c r="T215" s="219">
        <v>1101000</v>
      </c>
      <c r="U215" s="220">
        <f>T215*O215</f>
        <v>13212000</v>
      </c>
      <c r="V215" s="221"/>
    </row>
    <row r="216" spans="1:22">
      <c r="A216" s="213"/>
      <c r="B216" s="214"/>
      <c r="C216" s="214"/>
      <c r="D216" s="222"/>
      <c r="E216" s="215"/>
      <c r="F216" s="215"/>
      <c r="G216" s="216" t="s">
        <v>212</v>
      </c>
      <c r="H216" s="215" t="s">
        <v>209</v>
      </c>
      <c r="I216" s="217">
        <v>1</v>
      </c>
      <c r="J216" s="215" t="s">
        <v>210</v>
      </c>
      <c r="K216" s="215" t="s">
        <v>26</v>
      </c>
      <c r="L216" s="217"/>
      <c r="M216" s="215"/>
      <c r="N216" s="215" t="s">
        <v>26</v>
      </c>
      <c r="O216" s="218">
        <v>12</v>
      </c>
      <c r="P216" s="215" t="s">
        <v>30</v>
      </c>
      <c r="Q216" s="215"/>
      <c r="R216" s="215"/>
      <c r="S216" s="215"/>
      <c r="T216" s="219">
        <v>1101000</v>
      </c>
      <c r="U216" s="220">
        <f>T216*O216</f>
        <v>13212000</v>
      </c>
      <c r="V216" s="221"/>
    </row>
    <row r="217" spans="1:22" ht="29.25">
      <c r="A217" s="223"/>
      <c r="B217" s="224"/>
      <c r="C217" s="214"/>
      <c r="D217" s="222"/>
      <c r="E217" s="215"/>
      <c r="F217" s="215"/>
      <c r="G217" s="216" t="s">
        <v>213</v>
      </c>
      <c r="H217" s="215" t="s">
        <v>209</v>
      </c>
      <c r="I217" s="217">
        <v>1</v>
      </c>
      <c r="J217" s="215" t="s">
        <v>210</v>
      </c>
      <c r="K217" s="215" t="s">
        <v>26</v>
      </c>
      <c r="L217" s="217"/>
      <c r="M217" s="215"/>
      <c r="N217" s="215" t="s">
        <v>26</v>
      </c>
      <c r="O217" s="218">
        <v>12</v>
      </c>
      <c r="P217" s="215" t="s">
        <v>30</v>
      </c>
      <c r="Q217" s="215"/>
      <c r="R217" s="215"/>
      <c r="S217" s="215"/>
      <c r="T217" s="219">
        <v>1101000</v>
      </c>
      <c r="U217" s="220">
        <f>T217*O217</f>
        <v>13212000</v>
      </c>
      <c r="V217" s="221"/>
    </row>
    <row r="218" spans="1:22">
      <c r="A218" s="225">
        <v>6</v>
      </c>
      <c r="B218" s="225"/>
      <c r="C218" s="348" t="s">
        <v>214</v>
      </c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8"/>
      <c r="O218" s="348"/>
      <c r="P218" s="348"/>
      <c r="Q218" s="348"/>
      <c r="R218" s="348"/>
      <c r="S218" s="348"/>
      <c r="T218" s="349"/>
      <c r="U218" s="226"/>
      <c r="V218" s="227">
        <f>SUM(U219:U220)</f>
        <v>2800000</v>
      </c>
    </row>
    <row r="219" spans="1:22" ht="48.75">
      <c r="A219" s="228"/>
      <c r="B219" s="334"/>
      <c r="C219" s="335" t="s">
        <v>77</v>
      </c>
      <c r="D219" s="229" t="s">
        <v>215</v>
      </c>
      <c r="E219" s="230"/>
      <c r="F219" s="231"/>
      <c r="G219" s="232" t="s">
        <v>216</v>
      </c>
      <c r="H219" s="232" t="s">
        <v>24</v>
      </c>
      <c r="I219" s="233"/>
      <c r="J219" s="234" t="s">
        <v>217</v>
      </c>
      <c r="K219" s="234" t="s">
        <v>26</v>
      </c>
      <c r="L219" s="234"/>
      <c r="M219" s="235" t="s">
        <v>218</v>
      </c>
      <c r="N219" s="234" t="s">
        <v>26</v>
      </c>
      <c r="O219" s="234"/>
      <c r="P219" s="234" t="s">
        <v>219</v>
      </c>
      <c r="Q219" s="234" t="s">
        <v>26</v>
      </c>
      <c r="R219" s="236">
        <v>2</v>
      </c>
      <c r="S219" s="237" t="s">
        <v>220</v>
      </c>
      <c r="T219" s="238">
        <v>0</v>
      </c>
      <c r="U219" s="239">
        <f>T219*R219*O219*L219*I219</f>
        <v>0</v>
      </c>
      <c r="V219" s="240"/>
    </row>
    <row r="220" spans="1:22" ht="48.75">
      <c r="A220" s="228"/>
      <c r="B220" s="334"/>
      <c r="C220" s="336"/>
      <c r="D220" s="232" t="s">
        <v>221</v>
      </c>
      <c r="E220" s="241"/>
      <c r="F220" s="231"/>
      <c r="G220" s="232" t="s">
        <v>216</v>
      </c>
      <c r="H220" s="232" t="s">
        <v>24</v>
      </c>
      <c r="I220" s="233">
        <v>4</v>
      </c>
      <c r="J220" s="234" t="s">
        <v>217</v>
      </c>
      <c r="K220" s="234" t="s">
        <v>26</v>
      </c>
      <c r="L220" s="234">
        <v>7</v>
      </c>
      <c r="M220" s="235" t="s">
        <v>218</v>
      </c>
      <c r="N220" s="234" t="s">
        <v>26</v>
      </c>
      <c r="O220" s="234">
        <v>1</v>
      </c>
      <c r="P220" s="234" t="s">
        <v>219</v>
      </c>
      <c r="Q220" s="234" t="s">
        <v>26</v>
      </c>
      <c r="R220" s="236">
        <v>2</v>
      </c>
      <c r="S220" s="237" t="s">
        <v>220</v>
      </c>
      <c r="T220" s="238">
        <v>50000</v>
      </c>
      <c r="U220" s="239">
        <f>T220*R220*O220*L220*I220</f>
        <v>2800000</v>
      </c>
      <c r="V220" s="240"/>
    </row>
    <row r="221" spans="1:22" ht="24.75" customHeight="1">
      <c r="A221" s="242">
        <v>7</v>
      </c>
      <c r="B221" s="243"/>
      <c r="C221" s="329" t="s">
        <v>222</v>
      </c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30"/>
      <c r="V221" s="244">
        <f>V222</f>
        <v>30600000</v>
      </c>
    </row>
    <row r="222" spans="1:22">
      <c r="A222" s="245"/>
      <c r="B222" s="246"/>
      <c r="C222" s="246" t="s">
        <v>77</v>
      </c>
      <c r="D222" s="246" t="s">
        <v>4</v>
      </c>
      <c r="E222" s="246"/>
      <c r="F222" s="246"/>
      <c r="G222" s="246"/>
      <c r="H222" s="247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8"/>
      <c r="U222" s="249"/>
      <c r="V222" s="250">
        <f>V223+V225</f>
        <v>30600000</v>
      </c>
    </row>
    <row r="223" spans="1:22" ht="19.5">
      <c r="A223" s="251"/>
      <c r="B223" s="251"/>
      <c r="C223" s="251"/>
      <c r="D223" s="331"/>
      <c r="E223" s="332"/>
      <c r="F223" s="333" t="s">
        <v>223</v>
      </c>
      <c r="G223" s="252" t="s">
        <v>224</v>
      </c>
      <c r="H223" s="253" t="s">
        <v>35</v>
      </c>
      <c r="I223" s="254">
        <v>45</v>
      </c>
      <c r="J223" s="255" t="s">
        <v>225</v>
      </c>
      <c r="K223" s="256" t="s">
        <v>26</v>
      </c>
      <c r="L223" s="257">
        <v>12</v>
      </c>
      <c r="M223" s="255" t="s">
        <v>30</v>
      </c>
      <c r="N223" s="256" t="s">
        <v>26</v>
      </c>
      <c r="O223" s="257">
        <v>1</v>
      </c>
      <c r="P223" s="255" t="s">
        <v>220</v>
      </c>
      <c r="Q223" s="255"/>
      <c r="R223" s="255"/>
      <c r="S223" s="255"/>
      <c r="T223" s="258">
        <v>27500</v>
      </c>
      <c r="U223" s="259">
        <f>T223*O223*L223*I223</f>
        <v>14850000</v>
      </c>
      <c r="V223" s="260">
        <f>U223+U224</f>
        <v>24300000</v>
      </c>
    </row>
    <row r="224" spans="1:22">
      <c r="A224" s="251"/>
      <c r="B224" s="251"/>
      <c r="C224" s="251"/>
      <c r="D224" s="331"/>
      <c r="E224" s="332"/>
      <c r="F224" s="333"/>
      <c r="G224" s="252"/>
      <c r="H224" s="253" t="s">
        <v>226</v>
      </c>
      <c r="I224" s="254">
        <v>45</v>
      </c>
      <c r="J224" s="255" t="s">
        <v>225</v>
      </c>
      <c r="K224" s="256" t="s">
        <v>26</v>
      </c>
      <c r="L224" s="257">
        <v>12</v>
      </c>
      <c r="M224" s="255" t="s">
        <v>30</v>
      </c>
      <c r="N224" s="256" t="s">
        <v>26</v>
      </c>
      <c r="O224" s="257">
        <v>1</v>
      </c>
      <c r="P224" s="255" t="s">
        <v>220</v>
      </c>
      <c r="Q224" s="255"/>
      <c r="R224" s="255"/>
      <c r="S224" s="255"/>
      <c r="T224" s="258">
        <v>17500</v>
      </c>
      <c r="U224" s="259">
        <f>T224*O224*L224*I224</f>
        <v>9450000</v>
      </c>
      <c r="V224" s="260"/>
    </row>
    <row r="225" spans="1:22" ht="19.5">
      <c r="A225" s="251"/>
      <c r="B225" s="251"/>
      <c r="C225" s="251"/>
      <c r="D225" s="331"/>
      <c r="E225" s="332"/>
      <c r="F225" s="333" t="s">
        <v>227</v>
      </c>
      <c r="G225" s="252" t="s">
        <v>224</v>
      </c>
      <c r="H225" s="253" t="s">
        <v>35</v>
      </c>
      <c r="I225" s="254">
        <v>35</v>
      </c>
      <c r="J225" s="255" t="s">
        <v>225</v>
      </c>
      <c r="K225" s="256" t="s">
        <v>26</v>
      </c>
      <c r="L225" s="257">
        <v>4</v>
      </c>
      <c r="M225" s="255" t="s">
        <v>27</v>
      </c>
      <c r="N225" s="256" t="s">
        <v>26</v>
      </c>
      <c r="O225" s="257">
        <v>1</v>
      </c>
      <c r="P225" s="255" t="s">
        <v>228</v>
      </c>
      <c r="Q225" s="255"/>
      <c r="R225" s="255"/>
      <c r="S225" s="255"/>
      <c r="T225" s="258">
        <v>27500</v>
      </c>
      <c r="U225" s="259">
        <f>T225*O225*L225*I225</f>
        <v>3850000</v>
      </c>
      <c r="V225" s="261">
        <f>U225+U226</f>
        <v>6300000</v>
      </c>
    </row>
    <row r="226" spans="1:22">
      <c r="A226" s="251"/>
      <c r="B226" s="251"/>
      <c r="C226" s="251"/>
      <c r="D226" s="331"/>
      <c r="E226" s="332"/>
      <c r="F226" s="333"/>
      <c r="G226" s="252"/>
      <c r="H226" s="253" t="s">
        <v>226</v>
      </c>
      <c r="I226" s="254">
        <v>35</v>
      </c>
      <c r="J226" s="255" t="s">
        <v>225</v>
      </c>
      <c r="K226" s="256" t="s">
        <v>26</v>
      </c>
      <c r="L226" s="257">
        <v>4</v>
      </c>
      <c r="M226" s="255" t="s">
        <v>27</v>
      </c>
      <c r="N226" s="256" t="s">
        <v>26</v>
      </c>
      <c r="O226" s="257">
        <v>1</v>
      </c>
      <c r="P226" s="255" t="s">
        <v>228</v>
      </c>
      <c r="Q226" s="255"/>
      <c r="R226" s="255"/>
      <c r="S226" s="255"/>
      <c r="T226" s="258">
        <v>17500</v>
      </c>
      <c r="U226" s="259">
        <f>T226*O226*L226*I226</f>
        <v>2450000</v>
      </c>
      <c r="V226" s="261"/>
    </row>
    <row r="227" spans="1:22" ht="12" customHeight="1">
      <c r="A227" s="262">
        <v>8</v>
      </c>
      <c r="B227" s="263"/>
      <c r="C227" s="325" t="s">
        <v>229</v>
      </c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6"/>
      <c r="T227" s="264"/>
      <c r="U227" s="265"/>
      <c r="V227" s="266">
        <f>SUM(U229:U232)</f>
        <v>3105000</v>
      </c>
    </row>
    <row r="228" spans="1:22">
      <c r="A228" s="10"/>
      <c r="B228" s="267" t="s">
        <v>118</v>
      </c>
      <c r="C228" s="327" t="s">
        <v>230</v>
      </c>
      <c r="D228" s="328"/>
      <c r="E228" s="268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2"/>
      <c r="U228" s="269"/>
      <c r="V228" s="13">
        <f>SUM(U229:U232)</f>
        <v>3105000</v>
      </c>
    </row>
    <row r="229" spans="1:22" ht="18">
      <c r="A229" s="14"/>
      <c r="B229" s="104"/>
      <c r="C229" s="47" t="s">
        <v>50</v>
      </c>
      <c r="D229" s="49" t="s">
        <v>231</v>
      </c>
      <c r="E229" s="14" t="s">
        <v>33</v>
      </c>
      <c r="F229" s="23" t="s">
        <v>37</v>
      </c>
      <c r="G229" s="14" t="s">
        <v>35</v>
      </c>
      <c r="H229" s="14" t="s">
        <v>24</v>
      </c>
      <c r="I229" s="14">
        <v>37</v>
      </c>
      <c r="J229" s="14" t="s">
        <v>25</v>
      </c>
      <c r="K229" s="14" t="s">
        <v>26</v>
      </c>
      <c r="L229" s="14">
        <v>1</v>
      </c>
      <c r="M229" s="14" t="s">
        <v>27</v>
      </c>
      <c r="N229" s="14"/>
      <c r="O229" s="14"/>
      <c r="P229" s="14"/>
      <c r="Q229" s="14"/>
      <c r="R229" s="14"/>
      <c r="S229" s="14"/>
      <c r="T229" s="270">
        <v>27500</v>
      </c>
      <c r="U229" s="271">
        <f>I229*L229*T229</f>
        <v>1017500</v>
      </c>
      <c r="V229" s="107"/>
    </row>
    <row r="230" spans="1:22" ht="18">
      <c r="A230" s="14"/>
      <c r="B230" s="104"/>
      <c r="C230" s="43"/>
      <c r="D230" s="272"/>
      <c r="E230" s="14" t="s">
        <v>33</v>
      </c>
      <c r="F230" s="23" t="s">
        <v>37</v>
      </c>
      <c r="G230" s="23" t="s">
        <v>38</v>
      </c>
      <c r="H230" s="14" t="s">
        <v>24</v>
      </c>
      <c r="I230" s="14">
        <v>37</v>
      </c>
      <c r="J230" s="14" t="s">
        <v>25</v>
      </c>
      <c r="K230" s="14" t="s">
        <v>26</v>
      </c>
      <c r="L230" s="14">
        <v>1</v>
      </c>
      <c r="M230" s="14" t="s">
        <v>27</v>
      </c>
      <c r="N230" s="14"/>
      <c r="O230" s="14"/>
      <c r="P230" s="14"/>
      <c r="Q230" s="14"/>
      <c r="R230" s="14"/>
      <c r="S230" s="14"/>
      <c r="T230" s="270">
        <v>17500</v>
      </c>
      <c r="U230" s="271">
        <f>I230*L230*T230</f>
        <v>647500</v>
      </c>
      <c r="V230" s="23"/>
    </row>
    <row r="231" spans="1:22">
      <c r="A231" s="14"/>
      <c r="B231" s="104"/>
      <c r="C231" s="43"/>
      <c r="D231" s="272"/>
      <c r="E231" s="14" t="s">
        <v>40</v>
      </c>
      <c r="F231" s="14"/>
      <c r="G231" s="14" t="s">
        <v>71</v>
      </c>
      <c r="H231" s="14" t="s">
        <v>42</v>
      </c>
      <c r="I231" s="14">
        <v>4</v>
      </c>
      <c r="J231" s="14" t="s">
        <v>43</v>
      </c>
      <c r="K231" s="14" t="s">
        <v>26</v>
      </c>
      <c r="L231" s="14">
        <v>1</v>
      </c>
      <c r="M231" s="14" t="s">
        <v>27</v>
      </c>
      <c r="N231" s="14"/>
      <c r="O231" s="14"/>
      <c r="P231" s="14"/>
      <c r="Q231" s="14"/>
      <c r="R231" s="14"/>
      <c r="S231" s="14"/>
      <c r="T231" s="270">
        <v>22500</v>
      </c>
      <c r="U231" s="271">
        <f>I231*L231*T231</f>
        <v>90000</v>
      </c>
      <c r="V231" s="23"/>
    </row>
    <row r="232" spans="1:22" ht="18">
      <c r="A232" s="14"/>
      <c r="B232" s="104"/>
      <c r="C232" s="43"/>
      <c r="D232" s="272"/>
      <c r="E232" s="51" t="s">
        <v>72</v>
      </c>
      <c r="F232" s="23" t="s">
        <v>112</v>
      </c>
      <c r="G232" s="17" t="s">
        <v>96</v>
      </c>
      <c r="H232" s="14" t="s">
        <v>24</v>
      </c>
      <c r="I232" s="14">
        <v>27</v>
      </c>
      <c r="J232" s="14" t="s">
        <v>25</v>
      </c>
      <c r="K232" s="14" t="s">
        <v>26</v>
      </c>
      <c r="L232" s="14">
        <v>1</v>
      </c>
      <c r="M232" s="14" t="s">
        <v>27</v>
      </c>
      <c r="N232" s="14"/>
      <c r="O232" s="14"/>
      <c r="P232" s="14"/>
      <c r="Q232" s="14"/>
      <c r="R232" s="14"/>
      <c r="S232" s="14"/>
      <c r="T232" s="270">
        <v>50000</v>
      </c>
      <c r="U232" s="271">
        <f>I232*L232*T232</f>
        <v>1350000</v>
      </c>
      <c r="V232" s="23"/>
    </row>
  </sheetData>
  <mergeCells count="82">
    <mergeCell ref="A1:V1"/>
    <mergeCell ref="A2:V2"/>
    <mergeCell ref="A3:V3"/>
    <mergeCell ref="A4:V4"/>
    <mergeCell ref="A9:A10"/>
    <mergeCell ref="B9:D10"/>
    <mergeCell ref="E9:F9"/>
    <mergeCell ref="G9:G10"/>
    <mergeCell ref="H9:H10"/>
    <mergeCell ref="I9:S10"/>
    <mergeCell ref="C58:U58"/>
    <mergeCell ref="T9:T10"/>
    <mergeCell ref="U9:U10"/>
    <mergeCell ref="V9:V10"/>
    <mergeCell ref="A11:U11"/>
    <mergeCell ref="C12:U12"/>
    <mergeCell ref="C13:D13"/>
    <mergeCell ref="C48:D48"/>
    <mergeCell ref="C19:D19"/>
    <mergeCell ref="C21:D21"/>
    <mergeCell ref="C33:D33"/>
    <mergeCell ref="C52:D52"/>
    <mergeCell ref="C56:D56"/>
    <mergeCell ref="C155:D155"/>
    <mergeCell ref="C78:D78"/>
    <mergeCell ref="C81:D81"/>
    <mergeCell ref="C89:U89"/>
    <mergeCell ref="C90:D90"/>
    <mergeCell ref="C127:D127"/>
    <mergeCell ref="C135:D135"/>
    <mergeCell ref="C147:D147"/>
    <mergeCell ref="C148:D148"/>
    <mergeCell ref="C152:D152"/>
    <mergeCell ref="C153:D153"/>
    <mergeCell ref="C154:D154"/>
    <mergeCell ref="C172:D172"/>
    <mergeCell ref="C156:D156"/>
    <mergeCell ref="C157:D157"/>
    <mergeCell ref="C158:D158"/>
    <mergeCell ref="C159:D159"/>
    <mergeCell ref="C163:D163"/>
    <mergeCell ref="C164:D164"/>
    <mergeCell ref="C168:D168"/>
    <mergeCell ref="C169:D169"/>
    <mergeCell ref="C165:D165"/>
    <mergeCell ref="C166:D166"/>
    <mergeCell ref="C167:D167"/>
    <mergeCell ref="C170:D170"/>
    <mergeCell ref="C171:D171"/>
    <mergeCell ref="C187:D187"/>
    <mergeCell ref="C173:D173"/>
    <mergeCell ref="C175:D175"/>
    <mergeCell ref="C176:D176"/>
    <mergeCell ref="C177:D177"/>
    <mergeCell ref="C178:D178"/>
    <mergeCell ref="C181:D181"/>
    <mergeCell ref="C182:D182"/>
    <mergeCell ref="C183:D183"/>
    <mergeCell ref="C184:D184"/>
    <mergeCell ref="C185:D185"/>
    <mergeCell ref="C186:D186"/>
    <mergeCell ref="B219:B220"/>
    <mergeCell ref="C219:C220"/>
    <mergeCell ref="C188:D188"/>
    <mergeCell ref="C189:D189"/>
    <mergeCell ref="C190:D190"/>
    <mergeCell ref="C194:D194"/>
    <mergeCell ref="C198:D198"/>
    <mergeCell ref="C199:D199"/>
    <mergeCell ref="C206:D206"/>
    <mergeCell ref="C207:D207"/>
    <mergeCell ref="C210:D210"/>
    <mergeCell ref="C214:D214"/>
    <mergeCell ref="C218:T218"/>
    <mergeCell ref="C227:S227"/>
    <mergeCell ref="C228:D228"/>
    <mergeCell ref="C221:U221"/>
    <mergeCell ref="D223:D226"/>
    <mergeCell ref="E223:E224"/>
    <mergeCell ref="F223:F224"/>
    <mergeCell ref="E225:E226"/>
    <mergeCell ref="F225:F226"/>
  </mergeCells>
  <pageMargins left="0.70866141732283472" right="0.70866141732283472" top="0.74803149606299213" bottom="0.74803149606299213" header="0.31496062992125984" footer="0.31496062992125984"/>
  <pageSetup paperSize="1000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jatikalenfix</vt:lpstr>
      <vt:lpstr>jatikalenfix!Print_Titles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2022-08-04T02:20:47Z</dcterms:created>
  <dcterms:modified xsi:type="dcterms:W3CDTF">2022-08-08T04:00:57Z</dcterms:modified>
</cp:coreProperties>
</file>